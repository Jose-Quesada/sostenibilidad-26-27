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Criterios" sheetId="1" state="visible" r:id="rId1"/>
    <sheet xmlns:r="http://schemas.openxmlformats.org/officeDocument/2006/relationships" name="Registro Notas" sheetId="2" state="visible" r:id="rId2"/>
    <sheet xmlns:r="http://schemas.openxmlformats.org/officeDocument/2006/relationships" name="Calculo CEs" sheetId="3" state="visible" r:id="rId3"/>
    <sheet xmlns:r="http://schemas.openxmlformats.org/officeDocument/2006/relationships" name="Calculo RAs" sheetId="4" state="visible" r:id="rId4"/>
    <sheet xmlns:r="http://schemas.openxmlformats.org/officeDocument/2006/relationships" name="Panel de Control" sheetId="5" state="visible" r:id="rId5"/>
    <sheet xmlns:r="http://schemas.openxmlformats.org/officeDocument/2006/relationships" name="Seguimiento y Extraordinaria" sheetId="6" state="visible" r:id="rId6"/>
    <sheet xmlns:r="http://schemas.openxmlformats.org/officeDocument/2006/relationships" name="Guía de Funcionamiento"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Segoe UI"/>
      <b val="1"/>
      <color rgb="00FFFFFF"/>
      <sz val="14"/>
    </font>
    <font>
      <name val="Segoe UI"/>
      <i val="1"/>
      <color rgb="00E2E8F0"/>
      <sz val="10"/>
    </font>
    <font>
      <name val="Segoe UI"/>
      <b val="1"/>
      <color rgb="00FFFFFF"/>
      <sz val="9"/>
    </font>
    <font>
      <name val="Segoe UI"/>
      <b val="1"/>
      <sz val="9"/>
    </font>
    <font>
      <name val="Segoe UI"/>
      <sz val="9"/>
    </font>
    <font>
      <name val="Segoe UI"/>
      <b val="1"/>
      <color rgb="00065F46"/>
      <sz val="10"/>
    </font>
    <font>
      <name val="Segoe UI"/>
      <b val="1"/>
      <color rgb="00064E3B"/>
      <sz val="9"/>
    </font>
    <font>
      <name val="Segoe UI"/>
      <b val="1"/>
      <color rgb="00065F46"/>
      <sz val="9"/>
    </font>
    <font>
      <name val="Segoe UI"/>
      <b val="1"/>
      <color rgb="0015803D"/>
      <sz val="9"/>
    </font>
    <font>
      <name val="Segoe UI"/>
      <b val="1"/>
      <color rgb="0015803D"/>
      <sz val="8"/>
    </font>
    <font>
      <name val="Segoe UI"/>
      <b val="1"/>
      <color rgb="00064E3B"/>
      <sz val="10"/>
    </font>
    <font>
      <name val="Segoe UI"/>
      <b val="1"/>
      <color rgb="00475569"/>
      <sz val="8"/>
    </font>
    <font>
      <name val="Segoe UI"/>
      <b val="1"/>
      <color rgb="00064E3B"/>
      <sz val="16"/>
    </font>
    <font>
      <name val="Segoe UI"/>
      <b val="1"/>
      <color rgb="0015803D"/>
      <sz val="16"/>
    </font>
    <font>
      <name val="Segoe UI"/>
      <b val="1"/>
      <color rgb="00DC2626"/>
      <sz val="16"/>
    </font>
    <font>
      <name val="Segoe UI"/>
      <b val="1"/>
      <color rgb="00065F46"/>
      <sz val="16"/>
    </font>
    <font>
      <name val="Segoe UI"/>
      <b val="1"/>
      <color rgb="00065F46"/>
      <sz val="11"/>
    </font>
  </fonts>
  <fills count="21">
    <fill>
      <patternFill/>
    </fill>
    <fill>
      <patternFill patternType="gray125"/>
    </fill>
    <fill>
      <patternFill patternType="solid">
        <fgColor rgb="00064E3B"/>
        <bgColor rgb="00064E3B"/>
      </patternFill>
    </fill>
    <fill>
      <patternFill patternType="solid">
        <fgColor rgb="00065F46"/>
        <bgColor rgb="00065F46"/>
      </patternFill>
    </fill>
    <fill>
      <patternFill patternType="solid">
        <fgColor rgb="00047857"/>
        <bgColor rgb="00047857"/>
      </patternFill>
    </fill>
    <fill>
      <patternFill patternType="solid">
        <fgColor rgb="000F766E"/>
        <bgColor rgb="000F766E"/>
      </patternFill>
    </fill>
    <fill>
      <patternFill patternType="solid">
        <fgColor rgb="001D4ED8"/>
        <bgColor rgb="001D4ED8"/>
      </patternFill>
    </fill>
    <fill>
      <patternFill patternType="solid">
        <fgColor rgb="006B21A8"/>
        <bgColor rgb="006B21A8"/>
      </patternFill>
    </fill>
    <fill>
      <patternFill patternType="solid">
        <fgColor rgb="00F8FAFC"/>
        <bgColor rgb="00F8FAFC"/>
      </patternFill>
    </fill>
    <fill>
      <patternFill patternType="solid">
        <fgColor rgb="00FEF3C7"/>
        <bgColor rgb="00FEF3C7"/>
      </patternFill>
    </fill>
    <fill>
      <patternFill patternType="solid">
        <fgColor rgb="00D1FAE5"/>
        <bgColor rgb="00D1FAE5"/>
      </patternFill>
    </fill>
    <fill>
      <patternFill patternType="solid">
        <fgColor rgb="00DBEAFE"/>
        <bgColor rgb="00DBEAFE"/>
      </patternFill>
    </fill>
    <fill>
      <patternFill patternType="solid">
        <fgColor rgb="00CCFBF1"/>
        <bgColor rgb="00CCFBF1"/>
      </patternFill>
    </fill>
    <fill>
      <patternFill patternType="solid">
        <fgColor rgb="00DCFCE7"/>
        <bgColor rgb="00DCFCE7"/>
      </patternFill>
    </fill>
    <fill>
      <patternFill patternType="solid">
        <fgColor rgb="00FEF9C3"/>
        <bgColor rgb="00FEF9C3"/>
      </patternFill>
    </fill>
    <fill>
      <patternFill patternType="solid">
        <fgColor rgb="00B45309"/>
        <bgColor rgb="00B45309"/>
      </patternFill>
    </fill>
    <fill>
      <patternFill patternType="solid">
        <fgColor rgb="0015803D"/>
        <bgColor rgb="0015803D"/>
      </patternFill>
    </fill>
    <fill>
      <patternFill patternType="solid">
        <fgColor rgb="00FEE2E2"/>
        <bgColor rgb="00FEE2E2"/>
      </patternFill>
    </fill>
    <fill>
      <patternFill patternType="solid">
        <fgColor rgb="00ECFDF5"/>
        <bgColor rgb="00ECFDF5"/>
      </patternFill>
    </fill>
    <fill>
      <patternFill patternType="solid">
        <fgColor rgb="00F0FDFA"/>
        <bgColor rgb="00F0FDFA"/>
      </patternFill>
    </fill>
    <fill>
      <patternFill patternType="solid">
        <fgColor rgb="00EFF6FF"/>
        <bgColor rgb="00EFF6FF"/>
      </patternFill>
    </fill>
  </fills>
  <borders count="4">
    <border>
      <left/>
      <right/>
      <top/>
      <bottom/>
      <diagonal/>
    </border>
    <border>
      <left style="thin">
        <color rgb="00CBD5E1"/>
      </left>
      <right style="thin">
        <color rgb="00CBD5E1"/>
      </right>
      <top style="thin">
        <color rgb="00CBD5E1"/>
      </top>
      <bottom style="medium">
        <color rgb="0064748B"/>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64E3B"/>
      </bottom>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8" borderId="2" applyAlignment="1" pivotButton="0" quotePrefix="0" xfId="0">
      <alignment horizontal="center" vertical="center" wrapText="1"/>
    </xf>
    <xf numFmtId="164" fontId="5" fillId="8" borderId="2" applyAlignment="1" pivotButton="0" quotePrefix="0" xfId="0">
      <alignment horizontal="center" vertical="center" wrapText="1"/>
    </xf>
    <xf numFmtId="0" fontId="5" fillId="8" borderId="2" applyAlignment="1" pivotButton="0" quotePrefix="0" xfId="0">
      <alignment horizontal="left" vertical="center"/>
    </xf>
    <xf numFmtId="0" fontId="5" fillId="8" borderId="2" applyAlignment="1" pivotButton="0" quotePrefix="0" xfId="0">
      <alignment horizontal="center" vertical="center" wrapText="1"/>
    </xf>
    <xf numFmtId="0" fontId="4" fillId="9" borderId="2" applyAlignment="1" pivotButton="0" quotePrefix="0" xfId="0">
      <alignment horizontal="center" vertical="center" wrapText="1"/>
    </xf>
    <xf numFmtId="0" fontId="6" fillId="10" borderId="2" applyAlignment="1" pivotButton="0" quotePrefix="0" xfId="0">
      <alignment horizontal="center" vertical="center" wrapText="1"/>
    </xf>
    <xf numFmtId="10" fontId="5" fillId="8" borderId="2" applyAlignment="1" pivotButton="0" quotePrefix="0" xfId="0">
      <alignment horizontal="center" vertical="center" wrapText="1"/>
    </xf>
    <xf numFmtId="0" fontId="4" fillId="0" borderId="2" applyAlignment="1" pivotButton="0" quotePrefix="0" xfId="0">
      <alignment horizontal="center" vertical="center" wrapText="1"/>
    </xf>
    <xf numFmtId="164" fontId="5" fillId="0" borderId="2" applyAlignment="1" pivotButton="0" quotePrefix="0" xfId="0">
      <alignment horizontal="center" vertical="center" wrapText="1"/>
    </xf>
    <xf numFmtId="0" fontId="5" fillId="0" borderId="2" applyAlignment="1" pivotButton="0" quotePrefix="0" xfId="0">
      <alignment horizontal="left" vertical="center"/>
    </xf>
    <xf numFmtId="0" fontId="5" fillId="0" borderId="2" applyAlignment="1" pivotButton="0" quotePrefix="0" xfId="0">
      <alignment horizontal="center" vertical="center" wrapText="1"/>
    </xf>
    <xf numFmtId="10" fontId="5" fillId="0" borderId="2" applyAlignment="1" pivotButton="0" quotePrefix="0" xfId="0">
      <alignment horizontal="center" vertical="center" wrapText="1"/>
    </xf>
    <xf numFmtId="0" fontId="6" fillId="11" borderId="2" applyAlignment="1" pivotButton="0" quotePrefix="0" xfId="0">
      <alignment horizontal="center" vertical="center" wrapText="1"/>
    </xf>
    <xf numFmtId="0" fontId="6" fillId="12" borderId="2" applyAlignment="1" pivotButton="0" quotePrefix="0" xfId="0">
      <alignment horizontal="center" vertical="center" wrapText="1"/>
    </xf>
    <xf numFmtId="0" fontId="7" fillId="9" borderId="3" applyAlignment="1" pivotButton="0" quotePrefix="0" xfId="0">
      <alignment horizontal="right" vertical="center"/>
    </xf>
    <xf numFmtId="0" fontId="4" fillId="9" borderId="3" applyAlignment="1" pivotButton="0" quotePrefix="0" xfId="0">
      <alignment horizontal="center" vertical="center" wrapText="1"/>
    </xf>
    <xf numFmtId="0" fontId="4" fillId="13" borderId="3" applyAlignment="1" pivotButton="0" quotePrefix="0" xfId="0">
      <alignment horizontal="center" vertical="center" wrapText="1"/>
    </xf>
    <xf numFmtId="0" fontId="7" fillId="14" borderId="3" applyAlignment="1" pivotButton="0" quotePrefix="0" xfId="0">
      <alignment horizontal="right" vertical="center"/>
    </xf>
    <xf numFmtId="10" fontId="8" fillId="14" borderId="3" applyAlignment="1" pivotButton="0" quotePrefix="0" xfId="0">
      <alignment horizontal="center" vertical="center" wrapText="1"/>
    </xf>
    <xf numFmtId="10" fontId="4" fillId="14" borderId="3" applyAlignment="1" pivotButton="0" quotePrefix="0" xfId="0">
      <alignment horizontal="center" vertical="center" wrapText="1"/>
    </xf>
    <xf numFmtId="0" fontId="7" fillId="13" borderId="3" applyAlignment="1" pivotButton="0" quotePrefix="0" xfId="0">
      <alignment horizontal="right" vertical="center"/>
    </xf>
    <xf numFmtId="10" fontId="9" fillId="13" borderId="3" applyAlignment="1" pivotButton="0" quotePrefix="0" xfId="0">
      <alignment horizontal="center" vertical="center" wrapText="1"/>
    </xf>
    <xf numFmtId="0" fontId="10" fillId="13" borderId="3" applyAlignment="1" pivotButton="0" quotePrefix="0" xfId="0">
      <alignment horizontal="center" vertical="center" wrapText="1"/>
    </xf>
    <xf numFmtId="0" fontId="3" fillId="2"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2" applyAlignment="1" pivotButton="0" quotePrefix="0" xfId="0">
      <alignment horizontal="left" vertical="center"/>
    </xf>
    <xf numFmtId="2" fontId="5" fillId="8" borderId="2" applyAlignment="1" pivotButton="0" quotePrefix="0" xfId="0">
      <alignment horizontal="center" vertical="center" wrapText="1"/>
    </xf>
    <xf numFmtId="2" fontId="4" fillId="10" borderId="2" applyAlignment="1" pivotButton="0" quotePrefix="0" xfId="0">
      <alignment horizontal="center" vertical="center" wrapText="1"/>
    </xf>
    <xf numFmtId="2" fontId="4" fillId="12" borderId="2" applyAlignment="1" pivotButton="0" quotePrefix="0" xfId="0">
      <alignment horizontal="center" vertical="center" wrapText="1"/>
    </xf>
    <xf numFmtId="2" fontId="4" fillId="11" borderId="2" applyAlignment="1" pivotButton="0" quotePrefix="0" xfId="0">
      <alignment horizontal="center" vertical="center" wrapText="1"/>
    </xf>
    <xf numFmtId="2" fontId="4" fillId="9" borderId="2" applyAlignment="1" pivotButton="0" quotePrefix="0" xfId="0">
      <alignment horizontal="center" vertical="center" wrapText="1"/>
    </xf>
    <xf numFmtId="0" fontId="4" fillId="0" borderId="2" applyAlignment="1" pivotButton="0" quotePrefix="0" xfId="0">
      <alignment horizontal="left" vertical="center"/>
    </xf>
    <xf numFmtId="2" fontId="5" fillId="0" borderId="2" applyAlignment="1" pivotButton="0" quotePrefix="0" xfId="0">
      <alignment horizontal="center" vertical="center" wrapText="1"/>
    </xf>
    <xf numFmtId="0" fontId="7" fillId="9" borderId="3" applyAlignment="1" pivotButton="0" quotePrefix="0" xfId="0">
      <alignment horizontal="center" vertical="center" wrapText="1"/>
    </xf>
    <xf numFmtId="0" fontId="0" fillId="0" borderId="3" pivotButton="0" quotePrefix="0" xfId="0"/>
    <xf numFmtId="2" fontId="4" fillId="9" borderId="3" applyAlignment="1" pivotButton="0" quotePrefix="0" xfId="0">
      <alignment horizontal="center" vertical="center" wrapText="1"/>
    </xf>
    <xf numFmtId="0" fontId="3" fillId="15" borderId="0" applyAlignment="1" pivotButton="0" quotePrefix="0" xfId="0">
      <alignment horizontal="center" vertical="center" wrapText="1"/>
    </xf>
    <xf numFmtId="0" fontId="3" fillId="16" borderId="0" applyAlignment="1" pivotButton="0" quotePrefix="0" xfId="0">
      <alignment horizontal="center" vertical="center" wrapText="1"/>
    </xf>
    <xf numFmtId="0" fontId="3" fillId="2" borderId="1" applyAlignment="1" pivotButton="0" quotePrefix="0" xfId="0">
      <alignment horizontal="left" vertical="center"/>
    </xf>
    <xf numFmtId="0" fontId="3" fillId="15" borderId="1" applyAlignment="1" pivotButton="0" quotePrefix="0" xfId="0">
      <alignment horizontal="center" vertical="center" wrapText="1"/>
    </xf>
    <xf numFmtId="0" fontId="3" fillId="16" borderId="1" applyAlignment="1" pivotButton="0" quotePrefix="0" xfId="0">
      <alignment horizontal="center" vertical="center" wrapText="1"/>
    </xf>
    <xf numFmtId="0" fontId="4" fillId="13" borderId="2" applyAlignment="1" pivotButton="0" quotePrefix="0" xfId="0">
      <alignment horizontal="center" vertical="center" wrapText="1"/>
    </xf>
    <xf numFmtId="2" fontId="11" fillId="9" borderId="2" applyAlignment="1" pivotButton="0" quotePrefix="0" xfId="0">
      <alignment horizontal="center" vertical="center" wrapText="1"/>
    </xf>
    <xf numFmtId="0" fontId="12" fillId="0" borderId="0" applyAlignment="1" pivotButton="0" quotePrefix="0" xfId="0">
      <alignment horizontal="center" vertical="center" wrapText="1"/>
    </xf>
    <xf numFmtId="0" fontId="13" fillId="10" borderId="0" applyAlignment="1" pivotButton="0" quotePrefix="0" xfId="0">
      <alignment horizontal="center" vertical="center" wrapText="1"/>
    </xf>
    <xf numFmtId="0" fontId="14" fillId="13" borderId="0" applyAlignment="1" pivotButton="0" quotePrefix="0" xfId="0">
      <alignment horizontal="center" vertical="center" wrapText="1"/>
    </xf>
    <xf numFmtId="0" fontId="15" fillId="17" borderId="0" applyAlignment="1" pivotButton="0" quotePrefix="0" xfId="0">
      <alignment horizontal="center" vertical="center" wrapText="1"/>
    </xf>
    <xf numFmtId="2" fontId="13" fillId="9" borderId="0" applyAlignment="1" pivotButton="0" quotePrefix="0" xfId="0">
      <alignment horizontal="center" vertical="center" wrapText="1"/>
    </xf>
    <xf numFmtId="164" fontId="16" fillId="12" borderId="0" applyAlignment="1" pivotButton="0" quotePrefix="0" xfId="0">
      <alignment horizontal="center" vertical="center" wrapText="1"/>
    </xf>
    <xf numFmtId="2" fontId="4" fillId="18" borderId="2" applyAlignment="1" pivotButton="0" quotePrefix="0" xfId="0">
      <alignment horizontal="center" vertical="center" wrapText="1"/>
    </xf>
    <xf numFmtId="2" fontId="4" fillId="19" borderId="2" applyAlignment="1" pivotButton="0" quotePrefix="0" xfId="0">
      <alignment horizontal="center" vertical="center" wrapText="1"/>
    </xf>
    <xf numFmtId="2" fontId="4" fillId="20" borderId="2" applyAlignment="1" pivotButton="0" quotePrefix="0" xfId="0">
      <alignment horizontal="center" vertical="center" wrapText="1"/>
    </xf>
    <xf numFmtId="0" fontId="0" fillId="9" borderId="3" pivotButton="0" quotePrefix="0" xfId="0"/>
    <xf numFmtId="2" fontId="4" fillId="13" borderId="2" applyAlignment="1" pivotButton="0" quotePrefix="0" xfId="0">
      <alignment horizontal="center" vertical="center" wrapText="1"/>
    </xf>
    <xf numFmtId="0" fontId="17" fillId="10" borderId="1" applyAlignment="1" pivotButton="0" quotePrefix="0" xfId="0">
      <alignment horizontal="left" vertical="center"/>
    </xf>
    <xf numFmtId="0" fontId="5" fillId="8" borderId="2" applyAlignment="1" pivotButton="0" quotePrefix="0" xfId="0">
      <alignment horizontal="left" vertical="top" wrapText="1"/>
    </xf>
  </cellXfs>
  <cellStyles count="1">
    <cellStyle name="Normal" xfId="0" builtinId="0" hidden="0"/>
  </cellStyles>
  <dxfs count="3">
    <dxf>
      <font>
        <b val="1"/>
        <color rgb="0015803D"/>
      </font>
      <fill>
        <patternFill patternType="solid">
          <fgColor rgb="00DCFCE7"/>
          <bgColor rgb="00DCFCE7"/>
        </patternFill>
      </fill>
    </dxf>
    <dxf>
      <font>
        <b val="1"/>
        <color rgb="00DC2626"/>
      </font>
      <fill>
        <patternFill patternType="solid">
          <fgColor rgb="00FEE2E2"/>
          <bgColor rgb="00FEE2E2"/>
        </patternFill>
      </fill>
    </dxf>
    <dxf>
      <font>
        <b val="1"/>
        <color rgb="00065F46"/>
      </font>
      <fill>
        <patternFill patternType="solid">
          <fgColor rgb="00D1FAE5"/>
          <bgColor rgb="00D1FA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
  <sheetViews>
    <sheetView showGridLines="1" workbookViewId="0">
      <selection activeCell="A1" sqref="A1"/>
    </sheetView>
  </sheetViews>
  <sheetFormatPr baseColWidth="8" defaultRowHeight="15"/>
  <cols>
    <col width="8" customWidth="1" min="1" max="1"/>
    <col width="9" customWidth="1" min="2" max="2"/>
    <col width="10" customWidth="1" min="3" max="3"/>
    <col width="44" customWidth="1" min="4" max="4"/>
    <col width="14" customWidth="1" min="5" max="5"/>
    <col width="8"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36" customHeight="1">
      <c r="A1" s="1" t="inlineStr">
        <is>
          <t>MATRIZ DE SELECCIÓN DE CRITERIOS DE EVALUACIÓN POR TAREA — SOSTENIBILIDAD (1º DAW / DAM)</t>
        </is>
      </c>
    </row>
    <row r="2" ht="20" customHeight="1">
      <c r="A2" s="2" t="inlineStr">
        <is>
          <t>Marca con una 'X' en la casilla correspondiente para activar los criterios evaluados en cada tarea. Las filas 41 y 42 se calculan automáticamente.</t>
        </is>
      </c>
    </row>
    <row r="4">
      <c r="A4" s="3" t="inlineStr">
        <is>
          <t>CRITERIOS OFICIALES DE EVALUACIÓN (RD 659/2023 ANEXO VIII &amp; DECRETO 104/2024)</t>
        </is>
      </c>
      <c r="H4" s="4" t="inlineStr">
        <is>
          <t>1er TRIMESTRE (T1) — ASG &amp; RETOS</t>
        </is>
      </c>
      <c r="L4" s="5" t="inlineStr">
        <is>
          <t>2º TRIMESTRE (T2) — CIRCULAR &amp; GREEN IT</t>
        </is>
      </c>
      <c r="P4" s="6" t="inlineStr">
        <is>
          <t>3er TRIMESTRE (T3) — PLAN &amp; REPORTE</t>
        </is>
      </c>
      <c r="T4" s="7" t="inlineStr">
        <is>
          <t>Pond. CE
Oficial</t>
        </is>
      </c>
    </row>
    <row r="5" ht="36" customHeight="1">
      <c r="A5" s="8" t="inlineStr">
        <is>
          <t>RA</t>
        </is>
      </c>
      <c r="B5" s="8" t="inlineStr">
        <is>
          <t>Peso RA</t>
        </is>
      </c>
      <c r="C5" s="8" t="inlineStr">
        <is>
          <t>Código CE</t>
        </is>
      </c>
      <c r="D5" s="8" t="inlineStr">
        <is>
          <t>Descripción Oficial del Criterio de Evaluación</t>
        </is>
      </c>
      <c r="E5" s="8" t="inlineStr">
        <is>
          <t>UDs</t>
        </is>
      </c>
      <c r="F5" s="8" t="inlineStr">
        <is>
          <t>Total
Tareas</t>
        </is>
      </c>
      <c r="G5" s="8" t="inlineStr">
        <is>
          <t>Estado Cobertura</t>
        </is>
      </c>
      <c r="H5" s="9" t="inlineStr">
        <is>
          <t>T01
Fundamentos ASG</t>
        </is>
      </c>
      <c r="I5" s="9" t="inlineStr">
        <is>
          <t>T02
Retos Sector TIC</t>
        </is>
      </c>
      <c r="J5" s="9" t="inlineStr">
        <is>
          <t>T03
Proyecto Mapa ASG</t>
        </is>
      </c>
      <c r="K5" s="9" t="inlineStr">
        <is>
          <t>T04
Debate &amp; Actitud T1</t>
        </is>
      </c>
      <c r="L5" s="10" t="inlineStr">
        <is>
          <t>T05
Economía Circular</t>
        </is>
      </c>
      <c r="M5" s="10" t="inlineStr">
        <is>
          <t>T06
Green IT &amp; Huella</t>
        </is>
      </c>
      <c r="N5" s="10" t="inlineStr">
        <is>
          <t>T07
Proyecto Ecodiseño</t>
        </is>
      </c>
      <c r="O5" s="10" t="inlineStr">
        <is>
          <t>T08
Rigor &amp; Actitud T2</t>
        </is>
      </c>
      <c r="P5" s="11" t="inlineStr">
        <is>
          <t>T09
Estándares GRI</t>
        </is>
      </c>
      <c r="Q5" s="11" t="inlineStr">
        <is>
          <t>T10
KPIs Sostenibilidad</t>
        </is>
      </c>
      <c r="R5" s="11" t="inlineStr">
        <is>
          <t>T11
Plan Sostenibilidad</t>
        </is>
      </c>
      <c r="S5" s="11" t="inlineStr">
        <is>
          <t>T12
Vinculación Dual T3</t>
        </is>
      </c>
    </row>
    <row r="6" ht="24" customHeight="1">
      <c r="A6" s="12" t="inlineStr">
        <is>
          <t>RA1</t>
        </is>
      </c>
      <c r="B6" s="13" t="n">
        <v>0.18</v>
      </c>
      <c r="C6" s="12" t="inlineStr">
        <is>
          <t>CE1.a</t>
        </is>
      </c>
      <c r="D6" s="14" t="inlineStr">
        <is>
          <t>Se ha descrito el concepto de sostenibilidad y los marcos internacionales.</t>
        </is>
      </c>
      <c r="E6" s="15" t="inlineStr">
        <is>
          <t>UD01</t>
        </is>
      </c>
      <c r="F6" s="16">
        <f>COUNTIF(H6:S6, "X")</f>
        <v/>
      </c>
      <c r="G6" s="12">
        <f>IF(F6&gt;0, "EVALUADO", "SIN EVALUAR")</f>
        <v/>
      </c>
      <c r="H6" s="17" t="inlineStr">
        <is>
          <t>X</t>
        </is>
      </c>
      <c r="I6" s="15" t="inlineStr"/>
      <c r="J6" s="17" t="inlineStr">
        <is>
          <t>X</t>
        </is>
      </c>
      <c r="K6" s="15" t="inlineStr"/>
      <c r="L6" s="15" t="inlineStr"/>
      <c r="M6" s="15" t="inlineStr"/>
      <c r="N6" s="15" t="inlineStr"/>
      <c r="O6" s="15" t="inlineStr"/>
      <c r="P6" s="15" t="inlineStr"/>
      <c r="Q6" s="15" t="inlineStr"/>
      <c r="R6" s="15" t="inlineStr"/>
      <c r="S6" s="15" t="inlineStr"/>
      <c r="T6" s="18" t="n">
        <v>0.03</v>
      </c>
    </row>
    <row r="7" ht="24" customHeight="1">
      <c r="A7" s="19" t="inlineStr">
        <is>
          <t>RA1</t>
        </is>
      </c>
      <c r="B7" s="20" t="n">
        <v>0.18</v>
      </c>
      <c r="C7" s="19" t="inlineStr">
        <is>
          <t>CE1.b</t>
        </is>
      </c>
      <c r="D7" s="21" t="inlineStr">
        <is>
          <t>Se han identificado los asuntos ASG en las organizaciones TIC.</t>
        </is>
      </c>
      <c r="E7" s="22" t="inlineStr">
        <is>
          <t>UD02</t>
        </is>
      </c>
      <c r="F7" s="16">
        <f>COUNTIF(H7:S7, "X")</f>
        <v/>
      </c>
      <c r="G7" s="19">
        <f>IF(F7&gt;0, "EVALUADO", "SIN EVALUAR")</f>
        <v/>
      </c>
      <c r="H7" s="17" t="inlineStr">
        <is>
          <t>X</t>
        </is>
      </c>
      <c r="I7" s="22" t="inlineStr"/>
      <c r="J7" s="17" t="inlineStr">
        <is>
          <t>X</t>
        </is>
      </c>
      <c r="K7" s="17" t="inlineStr">
        <is>
          <t>X</t>
        </is>
      </c>
      <c r="L7" s="22" t="inlineStr"/>
      <c r="M7" s="22" t="inlineStr"/>
      <c r="N7" s="22" t="inlineStr"/>
      <c r="O7" s="22" t="inlineStr"/>
      <c r="P7" s="22" t="inlineStr"/>
      <c r="Q7" s="22" t="inlineStr"/>
      <c r="R7" s="22" t="inlineStr"/>
      <c r="S7" s="22" t="inlineStr"/>
      <c r="T7" s="23" t="n">
        <v>0.03</v>
      </c>
    </row>
    <row r="8" ht="24" customHeight="1">
      <c r="A8" s="12" t="inlineStr">
        <is>
          <t>RA1</t>
        </is>
      </c>
      <c r="B8" s="13" t="n">
        <v>0.18</v>
      </c>
      <c r="C8" s="12" t="inlineStr">
        <is>
          <t>CE1.c</t>
        </is>
      </c>
      <c r="D8" s="14" t="inlineStr">
        <is>
          <t>Se han relacionado los ODS con la Agenda 2030 en el sector tecnológico.</t>
        </is>
      </c>
      <c r="E8" s="15" t="inlineStr">
        <is>
          <t>UD01</t>
        </is>
      </c>
      <c r="F8" s="16">
        <f>COUNTIF(H8:S8, "X")</f>
        <v/>
      </c>
      <c r="G8" s="12">
        <f>IF(F8&gt;0, "EVALUADO", "SIN EVALUAR")</f>
        <v/>
      </c>
      <c r="H8" s="17" t="inlineStr">
        <is>
          <t>X</t>
        </is>
      </c>
      <c r="I8" s="15" t="inlineStr"/>
      <c r="J8" s="17" t="inlineStr">
        <is>
          <t>X</t>
        </is>
      </c>
      <c r="K8" s="15" t="inlineStr"/>
      <c r="L8" s="15" t="inlineStr"/>
      <c r="M8" s="15" t="inlineStr"/>
      <c r="N8" s="15" t="inlineStr"/>
      <c r="O8" s="15" t="inlineStr"/>
      <c r="P8" s="15" t="inlineStr"/>
      <c r="Q8" s="15" t="inlineStr"/>
      <c r="R8" s="15" t="inlineStr"/>
      <c r="S8" s="15" t="inlineStr"/>
      <c r="T8" s="18" t="n">
        <v>0.03</v>
      </c>
    </row>
    <row r="9" ht="24" customHeight="1">
      <c r="A9" s="19" t="inlineStr">
        <is>
          <t>RA1</t>
        </is>
      </c>
      <c r="B9" s="20" t="n">
        <v>0.18</v>
      </c>
      <c r="C9" s="19" t="inlineStr">
        <is>
          <t>CE1.d</t>
        </is>
      </c>
      <c r="D9" s="21" t="inlineStr">
        <is>
          <t>Se ha analizado la relevancia de los ASG para los grupos de interés (riesgos/oportunidades).</t>
        </is>
      </c>
      <c r="E9" s="22" t="inlineStr">
        <is>
          <t>UD02</t>
        </is>
      </c>
      <c r="F9" s="16">
        <f>COUNTIF(H9:S9, "X")</f>
        <v/>
      </c>
      <c r="G9" s="19">
        <f>IF(F9&gt;0, "EVALUADO", "SIN EVALUAR")</f>
        <v/>
      </c>
      <c r="H9" s="22" t="inlineStr"/>
      <c r="I9" s="22" t="inlineStr"/>
      <c r="J9" s="17" t="inlineStr">
        <is>
          <t>X</t>
        </is>
      </c>
      <c r="K9" s="22" t="inlineStr"/>
      <c r="L9" s="22" t="inlineStr"/>
      <c r="M9" s="22" t="inlineStr"/>
      <c r="N9" s="22" t="inlineStr"/>
      <c r="O9" s="22" t="inlineStr"/>
      <c r="P9" s="22" t="inlineStr"/>
      <c r="Q9" s="22" t="inlineStr"/>
      <c r="R9" s="24" t="inlineStr">
        <is>
          <t>X</t>
        </is>
      </c>
      <c r="S9" s="22" t="inlineStr"/>
      <c r="T9" s="23" t="n">
        <v>0.03</v>
      </c>
    </row>
    <row r="10" ht="24" customHeight="1">
      <c r="A10" s="12" t="inlineStr">
        <is>
          <t>RA1</t>
        </is>
      </c>
      <c r="B10" s="13" t="n">
        <v>0.18</v>
      </c>
      <c r="C10" s="12" t="inlineStr">
        <is>
          <t>CE1.e</t>
        </is>
      </c>
      <c r="D10" s="14" t="inlineStr">
        <is>
          <t>Se han identificado estándares de métricas e información (ISO, GRI, SASB, CSRD).</t>
        </is>
      </c>
      <c r="E10" s="15" t="inlineStr">
        <is>
          <t>UD03</t>
        </is>
      </c>
      <c r="F10" s="16">
        <f>COUNTIF(H10:S10, "X")</f>
        <v/>
      </c>
      <c r="G10" s="12">
        <f>IF(F10&gt;0, "EVALUADO", "SIN EVALUAR")</f>
        <v/>
      </c>
      <c r="H10" s="17" t="inlineStr">
        <is>
          <t>X</t>
        </is>
      </c>
      <c r="I10" s="15" t="inlineStr"/>
      <c r="J10" s="17" t="inlineStr">
        <is>
          <t>X</t>
        </is>
      </c>
      <c r="K10" s="15" t="inlineStr"/>
      <c r="L10" s="15" t="inlineStr"/>
      <c r="M10" s="15" t="inlineStr"/>
      <c r="N10" s="15" t="inlineStr"/>
      <c r="O10" s="15" t="inlineStr"/>
      <c r="P10" s="24" t="inlineStr">
        <is>
          <t>X</t>
        </is>
      </c>
      <c r="Q10" s="15" t="inlineStr"/>
      <c r="R10" s="15" t="inlineStr"/>
      <c r="S10" s="15" t="inlineStr"/>
      <c r="T10" s="18" t="n">
        <v>0.03</v>
      </c>
    </row>
    <row r="11" ht="24" customHeight="1">
      <c r="A11" s="19" t="inlineStr">
        <is>
          <t>RA1</t>
        </is>
      </c>
      <c r="B11" s="20" t="n">
        <v>0.18</v>
      </c>
      <c r="C11" s="19" t="inlineStr">
        <is>
          <t>CE1.f</t>
        </is>
      </c>
      <c r="D11" s="21" t="inlineStr">
        <is>
          <t>Se ha descrito la inversión socialmente responsable (ISR) y las agencias ESG.</t>
        </is>
      </c>
      <c r="E11" s="22" t="inlineStr">
        <is>
          <t>UD03</t>
        </is>
      </c>
      <c r="F11" s="16">
        <f>COUNTIF(H11:S11, "X")</f>
        <v/>
      </c>
      <c r="G11" s="19">
        <f>IF(F11&gt;0, "EVALUADO", "SIN EVALUAR")</f>
        <v/>
      </c>
      <c r="H11" s="17" t="inlineStr">
        <is>
          <t>X</t>
        </is>
      </c>
      <c r="I11" s="22" t="inlineStr"/>
      <c r="J11" s="17" t="inlineStr">
        <is>
          <t>X</t>
        </is>
      </c>
      <c r="K11" s="22" t="inlineStr"/>
      <c r="L11" s="22" t="inlineStr"/>
      <c r="M11" s="22" t="inlineStr"/>
      <c r="N11" s="22" t="inlineStr"/>
      <c r="O11" s="22" t="inlineStr"/>
      <c r="P11" s="22" t="inlineStr"/>
      <c r="Q11" s="22" t="inlineStr"/>
      <c r="R11" s="22" t="inlineStr"/>
      <c r="S11" s="22" t="inlineStr"/>
      <c r="T11" s="23" t="n">
        <v>0.03</v>
      </c>
    </row>
    <row r="12" ht="24" customHeight="1">
      <c r="A12" s="12" t="inlineStr">
        <is>
          <t>RA2</t>
        </is>
      </c>
      <c r="B12" s="13" t="n">
        <v>0.15</v>
      </c>
      <c r="C12" s="12" t="inlineStr">
        <is>
          <t>CE2.a</t>
        </is>
      </c>
      <c r="D12" s="14" t="inlineStr">
        <is>
          <t>Se han identificado los principales retos ambientales y sociales del sector TIC.</t>
        </is>
      </c>
      <c r="E12" s="15" t="inlineStr">
        <is>
          <t>UD04</t>
        </is>
      </c>
      <c r="F12" s="16">
        <f>COUNTIF(H12:S12, "X")</f>
        <v/>
      </c>
      <c r="G12" s="12">
        <f>IF(F12&gt;0, "EVALUADO", "SIN EVALUAR")</f>
        <v/>
      </c>
      <c r="H12" s="15" t="inlineStr"/>
      <c r="I12" s="17" t="inlineStr">
        <is>
          <t>X</t>
        </is>
      </c>
      <c r="J12" s="17" t="inlineStr">
        <is>
          <t>X</t>
        </is>
      </c>
      <c r="K12" s="15" t="inlineStr"/>
      <c r="L12" s="15" t="inlineStr"/>
      <c r="M12" s="15" t="inlineStr"/>
      <c r="N12" s="15" t="inlineStr"/>
      <c r="O12" s="15" t="inlineStr"/>
      <c r="P12" s="15" t="inlineStr"/>
      <c r="Q12" s="15" t="inlineStr"/>
      <c r="R12" s="15" t="inlineStr"/>
      <c r="S12" s="15" t="inlineStr"/>
      <c r="T12" s="18" t="n">
        <v>0.03</v>
      </c>
    </row>
    <row r="13" ht="24" customHeight="1">
      <c r="A13" s="19" t="inlineStr">
        <is>
          <t>RA2</t>
        </is>
      </c>
      <c r="B13" s="20" t="n">
        <v>0.15</v>
      </c>
      <c r="C13" s="19" t="inlineStr">
        <is>
          <t>CE2.b</t>
        </is>
      </c>
      <c r="D13" s="21" t="inlineStr">
        <is>
          <t>Se han relacionado los retos con la actividad económica y digital.</t>
        </is>
      </c>
      <c r="E13" s="22" t="inlineStr">
        <is>
          <t>UD04</t>
        </is>
      </c>
      <c r="F13" s="16">
        <f>COUNTIF(H13:S13, "X")</f>
        <v/>
      </c>
      <c r="G13" s="19">
        <f>IF(F13&gt;0, "EVALUADO", "SIN EVALUAR")</f>
        <v/>
      </c>
      <c r="H13" s="22" t="inlineStr"/>
      <c r="I13" s="17" t="inlineStr">
        <is>
          <t>X</t>
        </is>
      </c>
      <c r="J13" s="17" t="inlineStr">
        <is>
          <t>X</t>
        </is>
      </c>
      <c r="K13" s="22" t="inlineStr"/>
      <c r="L13" s="22" t="inlineStr"/>
      <c r="M13" s="22" t="inlineStr"/>
      <c r="N13" s="22" t="inlineStr"/>
      <c r="O13" s="22" t="inlineStr"/>
      <c r="P13" s="22" t="inlineStr"/>
      <c r="Q13" s="22" t="inlineStr"/>
      <c r="R13" s="22" t="inlineStr"/>
      <c r="S13" s="22" t="inlineStr"/>
      <c r="T13" s="23" t="n">
        <v>0.03</v>
      </c>
    </row>
    <row r="14" ht="24" customHeight="1">
      <c r="A14" s="12" t="inlineStr">
        <is>
          <t>RA2</t>
        </is>
      </c>
      <c r="B14" s="13" t="n">
        <v>0.15</v>
      </c>
      <c r="C14" s="12" t="inlineStr">
        <is>
          <t>CE2.c</t>
        </is>
      </c>
      <c r="D14" s="14" t="inlineStr">
        <is>
          <t>Se ha analizado el impacto ambiental y social sobre personas y sectores productivos.</t>
        </is>
      </c>
      <c r="E14" s="15" t="inlineStr">
        <is>
          <t>UD04</t>
        </is>
      </c>
      <c r="F14" s="16">
        <f>COUNTIF(H14:S14, "X")</f>
        <v/>
      </c>
      <c r="G14" s="12">
        <f>IF(F14&gt;0, "EVALUADO", "SIN EVALUAR")</f>
        <v/>
      </c>
      <c r="H14" s="15" t="inlineStr"/>
      <c r="I14" s="17" t="inlineStr">
        <is>
          <t>X</t>
        </is>
      </c>
      <c r="J14" s="17" t="inlineStr">
        <is>
          <t>X</t>
        </is>
      </c>
      <c r="K14" s="15" t="inlineStr"/>
      <c r="L14" s="15" t="inlineStr"/>
      <c r="M14" s="15" t="inlineStr"/>
      <c r="N14" s="15" t="inlineStr"/>
      <c r="O14" s="15" t="inlineStr"/>
      <c r="P14" s="15" t="inlineStr"/>
      <c r="Q14" s="15" t="inlineStr"/>
      <c r="R14" s="15" t="inlineStr"/>
      <c r="S14" s="15" t="inlineStr"/>
      <c r="T14" s="18" t="n">
        <v>0.03</v>
      </c>
    </row>
    <row r="15" ht="24" customHeight="1">
      <c r="A15" s="19" t="inlineStr">
        <is>
          <t>RA2</t>
        </is>
      </c>
      <c r="B15" s="20" t="n">
        <v>0.15</v>
      </c>
      <c r="C15" s="19" t="inlineStr">
        <is>
          <t>CE2.d</t>
        </is>
      </c>
      <c r="D15" s="21" t="inlineStr">
        <is>
          <t>Se han identificado medidas y acciones para minimizar impactos.</t>
        </is>
      </c>
      <c r="E15" s="22" t="inlineStr">
        <is>
          <t>UD04</t>
        </is>
      </c>
      <c r="F15" s="16">
        <f>COUNTIF(H15:S15, "X")</f>
        <v/>
      </c>
      <c r="G15" s="19">
        <f>IF(F15&gt;0, "EVALUADO", "SIN EVALUAR")</f>
        <v/>
      </c>
      <c r="H15" s="22" t="inlineStr"/>
      <c r="I15" s="17" t="inlineStr">
        <is>
          <t>X</t>
        </is>
      </c>
      <c r="J15" s="17" t="inlineStr">
        <is>
          <t>X</t>
        </is>
      </c>
      <c r="K15" s="22" t="inlineStr"/>
      <c r="L15" s="22" t="inlineStr"/>
      <c r="M15" s="22" t="inlineStr"/>
      <c r="N15" s="22" t="inlineStr"/>
      <c r="O15" s="22" t="inlineStr"/>
      <c r="P15" s="22" t="inlineStr"/>
      <c r="Q15" s="22" t="inlineStr"/>
      <c r="R15" s="24" t="inlineStr">
        <is>
          <t>X</t>
        </is>
      </c>
      <c r="S15" s="22" t="inlineStr"/>
      <c r="T15" s="23" t="n">
        <v>0.03</v>
      </c>
    </row>
    <row r="16" ht="24" customHeight="1">
      <c r="A16" s="12" t="inlineStr">
        <is>
          <t>RA2</t>
        </is>
      </c>
      <c r="B16" s="13" t="n">
        <v>0.15</v>
      </c>
      <c r="C16" s="12" t="inlineStr">
        <is>
          <t>CE2.e</t>
        </is>
      </c>
      <c r="D16" s="14" t="inlineStr">
        <is>
          <t>Se ha analizado la importancia de alianzas transversales (ODS 17).</t>
        </is>
      </c>
      <c r="E16" s="15" t="inlineStr">
        <is>
          <t>UD01, UD04</t>
        </is>
      </c>
      <c r="F16" s="16">
        <f>COUNTIF(H16:S16, "X")</f>
        <v/>
      </c>
      <c r="G16" s="12">
        <f>IF(F16&gt;0, "EVALUADO", "SIN EVALUAR")</f>
        <v/>
      </c>
      <c r="H16" s="15" t="inlineStr"/>
      <c r="I16" s="15" t="inlineStr"/>
      <c r="J16" s="17" t="inlineStr">
        <is>
          <t>X</t>
        </is>
      </c>
      <c r="K16" s="17" t="inlineStr">
        <is>
          <t>X</t>
        </is>
      </c>
      <c r="L16" s="15" t="inlineStr"/>
      <c r="M16" s="15" t="inlineStr"/>
      <c r="N16" s="15" t="inlineStr"/>
      <c r="O16" s="15" t="inlineStr"/>
      <c r="P16" s="15" t="inlineStr"/>
      <c r="Q16" s="15" t="inlineStr"/>
      <c r="R16" s="24" t="inlineStr">
        <is>
          <t>X</t>
        </is>
      </c>
      <c r="S16" s="15" t="inlineStr"/>
      <c r="T16" s="18" t="n">
        <v>0.03</v>
      </c>
    </row>
    <row r="17" ht="24" customHeight="1">
      <c r="A17" s="19" t="inlineStr">
        <is>
          <t>RA3</t>
        </is>
      </c>
      <c r="B17" s="20" t="n">
        <v>0.09</v>
      </c>
      <c r="C17" s="19" t="inlineStr">
        <is>
          <t>CE3.a</t>
        </is>
      </c>
      <c r="D17" s="21" t="inlineStr">
        <is>
          <t>Se han identificado los ODS más relevantes para la actividad profesional TIC.</t>
        </is>
      </c>
      <c r="E17" s="22" t="inlineStr">
        <is>
          <t>UD01, UD04</t>
        </is>
      </c>
      <c r="F17" s="16">
        <f>COUNTIF(H17:S17, "X")</f>
        <v/>
      </c>
      <c r="G17" s="19">
        <f>IF(F17&gt;0, "EVALUADO", "SIN EVALUAR")</f>
        <v/>
      </c>
      <c r="H17" s="22" t="inlineStr"/>
      <c r="I17" s="17" t="inlineStr">
        <is>
          <t>X</t>
        </is>
      </c>
      <c r="J17" s="17" t="inlineStr">
        <is>
          <t>X</t>
        </is>
      </c>
      <c r="K17" s="22" t="inlineStr"/>
      <c r="L17" s="22" t="inlineStr"/>
      <c r="M17" s="22" t="inlineStr"/>
      <c r="N17" s="22" t="inlineStr"/>
      <c r="O17" s="22" t="inlineStr"/>
      <c r="P17" s="22" t="inlineStr"/>
      <c r="Q17" s="22" t="inlineStr"/>
      <c r="R17" s="22" t="inlineStr"/>
      <c r="S17" s="22" t="inlineStr"/>
      <c r="T17" s="23" t="n">
        <v>0.03</v>
      </c>
    </row>
    <row r="18" ht="24" customHeight="1">
      <c r="A18" s="12" t="inlineStr">
        <is>
          <t>RA3</t>
        </is>
      </c>
      <c r="B18" s="13" t="n">
        <v>0.09</v>
      </c>
      <c r="C18" s="12" t="inlineStr">
        <is>
          <t>CE3.b</t>
        </is>
      </c>
      <c r="D18" s="14" t="inlineStr">
        <is>
          <t>Se han analizado los riesgos y oportunidades de los ODS en informática.</t>
        </is>
      </c>
      <c r="E18" s="15" t="inlineStr">
        <is>
          <t>UD04</t>
        </is>
      </c>
      <c r="F18" s="16">
        <f>COUNTIF(H18:S18, "X")</f>
        <v/>
      </c>
      <c r="G18" s="12">
        <f>IF(F18&gt;0, "EVALUADO", "SIN EVALUAR")</f>
        <v/>
      </c>
      <c r="H18" s="15" t="inlineStr"/>
      <c r="I18" s="17" t="inlineStr">
        <is>
          <t>X</t>
        </is>
      </c>
      <c r="J18" s="17" t="inlineStr">
        <is>
          <t>X</t>
        </is>
      </c>
      <c r="K18" s="15" t="inlineStr"/>
      <c r="L18" s="15" t="inlineStr"/>
      <c r="M18" s="15" t="inlineStr"/>
      <c r="N18" s="15" t="inlineStr"/>
      <c r="O18" s="15" t="inlineStr"/>
      <c r="P18" s="15" t="inlineStr"/>
      <c r="Q18" s="15" t="inlineStr"/>
      <c r="R18" s="15" t="inlineStr"/>
      <c r="S18" s="15" t="inlineStr"/>
      <c r="T18" s="18" t="n">
        <v>0.03</v>
      </c>
    </row>
    <row r="19" ht="24" customHeight="1">
      <c r="A19" s="19" t="inlineStr">
        <is>
          <t>RA3</t>
        </is>
      </c>
      <c r="B19" s="20" t="n">
        <v>0.09</v>
      </c>
      <c r="C19" s="19" t="inlineStr">
        <is>
          <t>CE3.c</t>
        </is>
      </c>
      <c r="D19" s="21" t="inlineStr">
        <is>
          <t>Se han identificado acciones prácticas para retos ambientales/sociales personal y laboral.</t>
        </is>
      </c>
      <c r="E19" s="22" t="inlineStr">
        <is>
          <t>UD04, UD06</t>
        </is>
      </c>
      <c r="F19" s="16">
        <f>COUNTIF(H19:S19, "X")</f>
        <v/>
      </c>
      <c r="G19" s="19">
        <f>IF(F19&gt;0, "EVALUADO", "SIN EVALUAR")</f>
        <v/>
      </c>
      <c r="H19" s="22" t="inlineStr"/>
      <c r="I19" s="22" t="inlineStr"/>
      <c r="J19" s="17" t="inlineStr">
        <is>
          <t>X</t>
        </is>
      </c>
      <c r="K19" s="17" t="inlineStr">
        <is>
          <t>X</t>
        </is>
      </c>
      <c r="L19" s="22" t="inlineStr"/>
      <c r="M19" s="25" t="inlineStr">
        <is>
          <t>X</t>
        </is>
      </c>
      <c r="N19" s="22" t="inlineStr"/>
      <c r="O19" s="22" t="inlineStr"/>
      <c r="P19" s="22" t="inlineStr"/>
      <c r="Q19" s="22" t="inlineStr"/>
      <c r="R19" s="22" t="inlineStr"/>
      <c r="S19" s="24" t="inlineStr">
        <is>
          <t>X</t>
        </is>
      </c>
      <c r="T19" s="23" t="n">
        <v>0.03</v>
      </c>
    </row>
    <row r="20" ht="24" customHeight="1">
      <c r="A20" s="12" t="inlineStr">
        <is>
          <t>RA4</t>
        </is>
      </c>
      <c r="B20" s="13" t="n">
        <v>0.18</v>
      </c>
      <c r="C20" s="12" t="inlineStr">
        <is>
          <t>CE4.a</t>
        </is>
      </c>
      <c r="D20" s="14" t="inlineStr">
        <is>
          <t>Se ha caracterizado el modelo de producción y consumo lineal frente al circular.</t>
        </is>
      </c>
      <c r="E20" s="15" t="inlineStr">
        <is>
          <t>UD05</t>
        </is>
      </c>
      <c r="F20" s="16">
        <f>COUNTIF(H20:S20, "X")</f>
        <v/>
      </c>
      <c r="G20" s="12">
        <f>IF(F20&gt;0, "EVALUADO", "SIN EVALUAR")</f>
        <v/>
      </c>
      <c r="H20" s="15" t="inlineStr"/>
      <c r="I20" s="15" t="inlineStr"/>
      <c r="J20" s="15" t="inlineStr"/>
      <c r="K20" s="15" t="inlineStr"/>
      <c r="L20" s="25" t="inlineStr">
        <is>
          <t>X</t>
        </is>
      </c>
      <c r="M20" s="15" t="inlineStr"/>
      <c r="N20" s="25" t="inlineStr">
        <is>
          <t>X</t>
        </is>
      </c>
      <c r="O20" s="15" t="inlineStr"/>
      <c r="P20" s="15" t="inlineStr"/>
      <c r="Q20" s="15" t="inlineStr"/>
      <c r="R20" s="15" t="inlineStr"/>
      <c r="S20" s="15" t="inlineStr"/>
      <c r="T20" s="18" t="n">
        <v>0.03</v>
      </c>
    </row>
    <row r="21" ht="24" customHeight="1">
      <c r="A21" s="19" t="inlineStr">
        <is>
          <t>RA4</t>
        </is>
      </c>
      <c r="B21" s="20" t="n">
        <v>0.18</v>
      </c>
      <c r="C21" s="19" t="inlineStr">
        <is>
          <t>CE4.b</t>
        </is>
      </c>
      <c r="D21" s="21" t="inlineStr">
        <is>
          <t>Se han identificado los principios de la economía verde y circular.</t>
        </is>
      </c>
      <c r="E21" s="22" t="inlineStr">
        <is>
          <t>UD05</t>
        </is>
      </c>
      <c r="F21" s="16">
        <f>COUNTIF(H21:S21, "X")</f>
        <v/>
      </c>
      <c r="G21" s="19">
        <f>IF(F21&gt;0, "EVALUADO", "SIN EVALUAR")</f>
        <v/>
      </c>
      <c r="H21" s="22" t="inlineStr"/>
      <c r="I21" s="22" t="inlineStr"/>
      <c r="J21" s="22" t="inlineStr"/>
      <c r="K21" s="22" t="inlineStr"/>
      <c r="L21" s="25" t="inlineStr">
        <is>
          <t>X</t>
        </is>
      </c>
      <c r="M21" s="22" t="inlineStr"/>
      <c r="N21" s="25" t="inlineStr">
        <is>
          <t>X</t>
        </is>
      </c>
      <c r="O21" s="22" t="inlineStr"/>
      <c r="P21" s="22" t="inlineStr"/>
      <c r="Q21" s="22" t="inlineStr"/>
      <c r="R21" s="22" t="inlineStr"/>
      <c r="S21" s="22" t="inlineStr"/>
      <c r="T21" s="23" t="n">
        <v>0.03</v>
      </c>
    </row>
    <row r="22" ht="24" customHeight="1">
      <c r="A22" s="12" t="inlineStr">
        <is>
          <t>RA4</t>
        </is>
      </c>
      <c r="B22" s="13" t="n">
        <v>0.18</v>
      </c>
      <c r="C22" s="12" t="inlineStr">
        <is>
          <t>CE4.c</t>
        </is>
      </c>
      <c r="D22" s="14" t="inlineStr">
        <is>
          <t>Se han contrastado los beneficios de la economía circular frente al modelo clásico.</t>
        </is>
      </c>
      <c r="E22" s="15" t="inlineStr">
        <is>
          <t>UD05</t>
        </is>
      </c>
      <c r="F22" s="16">
        <f>COUNTIF(H22:S22, "X")</f>
        <v/>
      </c>
      <c r="G22" s="12">
        <f>IF(F22&gt;0, "EVALUADO", "SIN EVALUAR")</f>
        <v/>
      </c>
      <c r="H22" s="15" t="inlineStr"/>
      <c r="I22" s="15" t="inlineStr"/>
      <c r="J22" s="15" t="inlineStr"/>
      <c r="K22" s="15" t="inlineStr"/>
      <c r="L22" s="25" t="inlineStr">
        <is>
          <t>X</t>
        </is>
      </c>
      <c r="M22" s="15" t="inlineStr"/>
      <c r="N22" s="25" t="inlineStr">
        <is>
          <t>X</t>
        </is>
      </c>
      <c r="O22" s="15" t="inlineStr"/>
      <c r="P22" s="15" t="inlineStr"/>
      <c r="Q22" s="15" t="inlineStr"/>
      <c r="R22" s="15" t="inlineStr"/>
      <c r="S22" s="15" t="inlineStr"/>
      <c r="T22" s="18" t="n">
        <v>0.03</v>
      </c>
    </row>
    <row r="23" ht="24" customHeight="1">
      <c r="A23" s="19" t="inlineStr">
        <is>
          <t>RA4</t>
        </is>
      </c>
      <c r="B23" s="20" t="n">
        <v>0.18</v>
      </c>
      <c r="C23" s="19" t="inlineStr">
        <is>
          <t>CE4.d</t>
        </is>
      </c>
      <c r="D23" s="21" t="inlineStr">
        <is>
          <t>Se han aplicado principios de ecodiseño (hardware y software).</t>
        </is>
      </c>
      <c r="E23" s="22" t="inlineStr">
        <is>
          <t>UD05, UD06</t>
        </is>
      </c>
      <c r="F23" s="16">
        <f>COUNTIF(H23:S23, "X")</f>
        <v/>
      </c>
      <c r="G23" s="19">
        <f>IF(F23&gt;0, "EVALUADO", "SIN EVALUAR")</f>
        <v/>
      </c>
      <c r="H23" s="22" t="inlineStr"/>
      <c r="I23" s="22" t="inlineStr"/>
      <c r="J23" s="22" t="inlineStr"/>
      <c r="K23" s="22" t="inlineStr"/>
      <c r="L23" s="25" t="inlineStr">
        <is>
          <t>X</t>
        </is>
      </c>
      <c r="M23" s="22" t="inlineStr"/>
      <c r="N23" s="25" t="inlineStr">
        <is>
          <t>X</t>
        </is>
      </c>
      <c r="O23" s="25" t="inlineStr">
        <is>
          <t>X</t>
        </is>
      </c>
      <c r="P23" s="22" t="inlineStr"/>
      <c r="Q23" s="22" t="inlineStr"/>
      <c r="R23" s="22" t="inlineStr"/>
      <c r="S23" s="22" t="inlineStr"/>
      <c r="T23" s="23" t="n">
        <v>0.03</v>
      </c>
    </row>
    <row r="24" ht="24" customHeight="1">
      <c r="A24" s="12" t="inlineStr">
        <is>
          <t>RA4</t>
        </is>
      </c>
      <c r="B24" s="13" t="n">
        <v>0.18</v>
      </c>
      <c r="C24" s="12" t="inlineStr">
        <is>
          <t>CE4.e</t>
        </is>
      </c>
      <c r="D24" s="14" t="inlineStr">
        <is>
          <t>Se ha analizado el ciclo de vida del producto TIC (LCA/ACV).</t>
        </is>
      </c>
      <c r="E24" s="15" t="inlineStr">
        <is>
          <t>UD05</t>
        </is>
      </c>
      <c r="F24" s="16">
        <f>COUNTIF(H24:S24, "X")</f>
        <v/>
      </c>
      <c r="G24" s="12">
        <f>IF(F24&gt;0, "EVALUADO", "SIN EVALUAR")</f>
        <v/>
      </c>
      <c r="H24" s="15" t="inlineStr"/>
      <c r="I24" s="15" t="inlineStr"/>
      <c r="J24" s="15" t="inlineStr"/>
      <c r="K24" s="15" t="inlineStr"/>
      <c r="L24" s="15" t="inlineStr"/>
      <c r="M24" s="15" t="inlineStr"/>
      <c r="N24" s="25" t="inlineStr">
        <is>
          <t>X</t>
        </is>
      </c>
      <c r="O24" s="15" t="inlineStr"/>
      <c r="P24" s="15" t="inlineStr"/>
      <c r="Q24" s="15" t="inlineStr"/>
      <c r="R24" s="24" t="inlineStr">
        <is>
          <t>X</t>
        </is>
      </c>
      <c r="S24" s="15" t="inlineStr"/>
      <c r="T24" s="18" t="n">
        <v>0.03</v>
      </c>
    </row>
    <row r="25" ht="24" customHeight="1">
      <c r="A25" s="19" t="inlineStr">
        <is>
          <t>RA4</t>
        </is>
      </c>
      <c r="B25" s="20" t="n">
        <v>0.18</v>
      </c>
      <c r="C25" s="19" t="inlineStr">
        <is>
          <t>CE4.f</t>
        </is>
      </c>
      <c r="D25" s="21" t="inlineStr">
        <is>
          <t>Se han identificado procesos productivos y criterios de sostenibilidad aplicados.</t>
        </is>
      </c>
      <c r="E25" s="22" t="inlineStr">
        <is>
          <t>UD05, UD06</t>
        </is>
      </c>
      <c r="F25" s="16">
        <f>COUNTIF(H25:S25, "X")</f>
        <v/>
      </c>
      <c r="G25" s="19">
        <f>IF(F25&gt;0, "EVALUADO", "SIN EVALUAR")</f>
        <v/>
      </c>
      <c r="H25" s="22" t="inlineStr"/>
      <c r="I25" s="22" t="inlineStr"/>
      <c r="J25" s="22" t="inlineStr"/>
      <c r="K25" s="22" t="inlineStr"/>
      <c r="L25" s="22" t="inlineStr"/>
      <c r="M25" s="22" t="inlineStr"/>
      <c r="N25" s="25" t="inlineStr">
        <is>
          <t>X</t>
        </is>
      </c>
      <c r="O25" s="22" t="inlineStr"/>
      <c r="P25" s="22" t="inlineStr"/>
      <c r="Q25" s="22" t="inlineStr"/>
      <c r="R25" s="24" t="inlineStr">
        <is>
          <t>X</t>
        </is>
      </c>
      <c r="S25" s="22" t="inlineStr"/>
      <c r="T25" s="23" t="n">
        <v>0.03</v>
      </c>
    </row>
    <row r="26" ht="24" customHeight="1">
      <c r="A26" s="12" t="inlineStr">
        <is>
          <t>RA5</t>
        </is>
      </c>
      <c r="B26" s="13" t="n">
        <v>0.18</v>
      </c>
      <c r="C26" s="12" t="inlineStr">
        <is>
          <t>CE5.a</t>
        </is>
      </c>
      <c r="D26" s="14" t="inlineStr">
        <is>
          <t>Se ha caracterizado el modelo de consumo actual.</t>
        </is>
      </c>
      <c r="E26" s="15" t="inlineStr">
        <is>
          <t>UD05</t>
        </is>
      </c>
      <c r="F26" s="16">
        <f>COUNTIF(H26:S26, "X")</f>
        <v/>
      </c>
      <c r="G26" s="12">
        <f>IF(F26&gt;0, "EVALUADO", "SIN EVALUAR")</f>
        <v/>
      </c>
      <c r="H26" s="15" t="inlineStr"/>
      <c r="I26" s="15" t="inlineStr"/>
      <c r="J26" s="15" t="inlineStr"/>
      <c r="K26" s="15" t="inlineStr"/>
      <c r="L26" s="25" t="inlineStr">
        <is>
          <t>X</t>
        </is>
      </c>
      <c r="M26" s="15" t="inlineStr"/>
      <c r="N26" s="15" t="inlineStr"/>
      <c r="O26" s="15" t="inlineStr"/>
      <c r="P26" s="15" t="inlineStr"/>
      <c r="Q26" s="15" t="inlineStr"/>
      <c r="R26" s="15" t="inlineStr"/>
      <c r="S26" s="15" t="inlineStr"/>
      <c r="T26" s="18" t="n">
        <v>0.02</v>
      </c>
    </row>
    <row r="27" ht="24" customHeight="1">
      <c r="A27" s="19" t="inlineStr">
        <is>
          <t>RA5</t>
        </is>
      </c>
      <c r="B27" s="20" t="n">
        <v>0.18</v>
      </c>
      <c r="C27" s="19" t="inlineStr">
        <is>
          <t>CE5.b</t>
        </is>
      </c>
      <c r="D27" s="21" t="inlineStr">
        <is>
          <t>Se han identificado principios de economía verde/circular.</t>
        </is>
      </c>
      <c r="E27" s="22" t="inlineStr">
        <is>
          <t>UD05</t>
        </is>
      </c>
      <c r="F27" s="16">
        <f>COUNTIF(H27:S27, "X")</f>
        <v/>
      </c>
      <c r="G27" s="19">
        <f>IF(F27&gt;0, "EVALUADO", "SIN EVALUAR")</f>
        <v/>
      </c>
      <c r="H27" s="22" t="inlineStr"/>
      <c r="I27" s="22" t="inlineStr"/>
      <c r="J27" s="22" t="inlineStr"/>
      <c r="K27" s="22" t="inlineStr"/>
      <c r="L27" s="25" t="inlineStr">
        <is>
          <t>X</t>
        </is>
      </c>
      <c r="M27" s="22" t="inlineStr"/>
      <c r="N27" s="22" t="inlineStr"/>
      <c r="O27" s="22" t="inlineStr"/>
      <c r="P27" s="22" t="inlineStr"/>
      <c r="Q27" s="22" t="inlineStr"/>
      <c r="R27" s="22" t="inlineStr"/>
      <c r="S27" s="22" t="inlineStr"/>
      <c r="T27" s="23" t="n">
        <v>0.02</v>
      </c>
    </row>
    <row r="28" ht="24" customHeight="1">
      <c r="A28" s="12" t="inlineStr">
        <is>
          <t>RA5</t>
        </is>
      </c>
      <c r="B28" s="13" t="n">
        <v>0.18</v>
      </c>
      <c r="C28" s="12" t="inlineStr">
        <is>
          <t>CE5.c</t>
        </is>
      </c>
      <c r="D28" s="14" t="inlineStr">
        <is>
          <t>Se han contrastado los beneficios del modelo circular.</t>
        </is>
      </c>
      <c r="E28" s="15" t="inlineStr">
        <is>
          <t>UD05</t>
        </is>
      </c>
      <c r="F28" s="16">
        <f>COUNTIF(H28:S28, "X")</f>
        <v/>
      </c>
      <c r="G28" s="12">
        <f>IF(F28&gt;0, "EVALUADO", "SIN EVALUAR")</f>
        <v/>
      </c>
      <c r="H28" s="15" t="inlineStr"/>
      <c r="I28" s="15" t="inlineStr"/>
      <c r="J28" s="15" t="inlineStr"/>
      <c r="K28" s="15" t="inlineStr"/>
      <c r="L28" s="25" t="inlineStr">
        <is>
          <t>X</t>
        </is>
      </c>
      <c r="M28" s="25" t="inlineStr">
        <is>
          <t>X</t>
        </is>
      </c>
      <c r="N28" s="15" t="inlineStr"/>
      <c r="O28" s="15" t="inlineStr"/>
      <c r="P28" s="15" t="inlineStr"/>
      <c r="Q28" s="15" t="inlineStr"/>
      <c r="R28" s="15" t="inlineStr"/>
      <c r="S28" s="15" t="inlineStr"/>
      <c r="T28" s="18" t="n">
        <v>0.02</v>
      </c>
    </row>
    <row r="29" ht="24" customHeight="1">
      <c r="A29" s="19" t="inlineStr">
        <is>
          <t>RA5</t>
        </is>
      </c>
      <c r="B29" s="20" t="n">
        <v>0.18</v>
      </c>
      <c r="C29" s="19" t="inlineStr">
        <is>
          <t>CE5.d</t>
        </is>
      </c>
      <c r="D29" s="21" t="inlineStr">
        <is>
          <t>Se ha evaluado el impacto de actividades personales y profesionales (huella digital).</t>
        </is>
      </c>
      <c r="E29" s="22" t="inlineStr">
        <is>
          <t>UD06</t>
        </is>
      </c>
      <c r="F29" s="16">
        <f>COUNTIF(H29:S29, "X")</f>
        <v/>
      </c>
      <c r="G29" s="19">
        <f>IF(F29&gt;0, "EVALUADO", "SIN EVALUAR")</f>
        <v/>
      </c>
      <c r="H29" s="22" t="inlineStr"/>
      <c r="I29" s="22" t="inlineStr"/>
      <c r="J29" s="22" t="inlineStr"/>
      <c r="K29" s="22" t="inlineStr"/>
      <c r="L29" s="22" t="inlineStr"/>
      <c r="M29" s="25" t="inlineStr">
        <is>
          <t>X</t>
        </is>
      </c>
      <c r="N29" s="25" t="inlineStr">
        <is>
          <t>X</t>
        </is>
      </c>
      <c r="O29" s="25" t="inlineStr">
        <is>
          <t>X</t>
        </is>
      </c>
      <c r="P29" s="22" t="inlineStr"/>
      <c r="Q29" s="22" t="inlineStr"/>
      <c r="R29" s="22" t="inlineStr"/>
      <c r="S29" s="22" t="inlineStr"/>
      <c r="T29" s="23" t="n">
        <v>0.02</v>
      </c>
    </row>
    <row r="30" ht="24" customHeight="1">
      <c r="A30" s="12" t="inlineStr">
        <is>
          <t>RA5</t>
        </is>
      </c>
      <c r="B30" s="13" t="n">
        <v>0.18</v>
      </c>
      <c r="C30" s="12" t="inlineStr">
        <is>
          <t>CE5.e</t>
        </is>
      </c>
      <c r="D30" s="14" t="inlineStr">
        <is>
          <t>Se han aplicado principios de ecodiseño.</t>
        </is>
      </c>
      <c r="E30" s="15" t="inlineStr">
        <is>
          <t>UD05, UD06</t>
        </is>
      </c>
      <c r="F30" s="16">
        <f>COUNTIF(H30:S30, "X")</f>
        <v/>
      </c>
      <c r="G30" s="12">
        <f>IF(F30&gt;0, "EVALUADO", "SIN EVALUAR")</f>
        <v/>
      </c>
      <c r="H30" s="15" t="inlineStr"/>
      <c r="I30" s="15" t="inlineStr"/>
      <c r="J30" s="15" t="inlineStr"/>
      <c r="K30" s="15" t="inlineStr"/>
      <c r="L30" s="15" t="inlineStr"/>
      <c r="M30" s="15" t="inlineStr"/>
      <c r="N30" s="25" t="inlineStr">
        <is>
          <t>X</t>
        </is>
      </c>
      <c r="O30" s="15" t="inlineStr"/>
      <c r="P30" s="15" t="inlineStr"/>
      <c r="Q30" s="15" t="inlineStr"/>
      <c r="R30" s="15" t="inlineStr"/>
      <c r="S30" s="15" t="inlineStr"/>
      <c r="T30" s="18" t="n">
        <v>0.02</v>
      </c>
    </row>
    <row r="31" ht="24" customHeight="1">
      <c r="A31" s="19" t="inlineStr">
        <is>
          <t>RA5</t>
        </is>
      </c>
      <c r="B31" s="20" t="n">
        <v>0.18</v>
      </c>
      <c r="C31" s="19" t="inlineStr">
        <is>
          <t>CE5.f</t>
        </is>
      </c>
      <c r="D31" s="21" t="inlineStr">
        <is>
          <t>Se han aplicado estrategias sostenibles (Green IT, cloud verde, eficiencia energética).</t>
        </is>
      </c>
      <c r="E31" s="22" t="inlineStr">
        <is>
          <t>UD06</t>
        </is>
      </c>
      <c r="F31" s="16">
        <f>COUNTIF(H31:S31, "X")</f>
        <v/>
      </c>
      <c r="G31" s="19">
        <f>IF(F31&gt;0, "EVALUADO", "SIN EVALUAR")</f>
        <v/>
      </c>
      <c r="H31" s="22" t="inlineStr"/>
      <c r="I31" s="22" t="inlineStr"/>
      <c r="J31" s="22" t="inlineStr"/>
      <c r="K31" s="22" t="inlineStr"/>
      <c r="L31" s="22" t="inlineStr"/>
      <c r="M31" s="25" t="inlineStr">
        <is>
          <t>X</t>
        </is>
      </c>
      <c r="N31" s="25" t="inlineStr">
        <is>
          <t>X</t>
        </is>
      </c>
      <c r="O31" s="22" t="inlineStr"/>
      <c r="P31" s="22" t="inlineStr"/>
      <c r="Q31" s="22" t="inlineStr"/>
      <c r="R31" s="24" t="inlineStr">
        <is>
          <t>X</t>
        </is>
      </c>
      <c r="S31" s="24" t="inlineStr">
        <is>
          <t>X</t>
        </is>
      </c>
      <c r="T31" s="23" t="n">
        <v>0.02</v>
      </c>
    </row>
    <row r="32" ht="24" customHeight="1">
      <c r="A32" s="12" t="inlineStr">
        <is>
          <t>RA5</t>
        </is>
      </c>
      <c r="B32" s="13" t="n">
        <v>0.18</v>
      </c>
      <c r="C32" s="12" t="inlineStr">
        <is>
          <t>CE5.g</t>
        </is>
      </c>
      <c r="D32" s="14" t="inlineStr">
        <is>
          <t>Se ha analizado el ciclo de vida.</t>
        </is>
      </c>
      <c r="E32" s="15" t="inlineStr">
        <is>
          <t>UD05</t>
        </is>
      </c>
      <c r="F32" s="16">
        <f>COUNTIF(H32:S32, "X")</f>
        <v/>
      </c>
      <c r="G32" s="12">
        <f>IF(F32&gt;0, "EVALUADO", "SIN EVALUAR")</f>
        <v/>
      </c>
      <c r="H32" s="15" t="inlineStr"/>
      <c r="I32" s="15" t="inlineStr"/>
      <c r="J32" s="15" t="inlineStr"/>
      <c r="K32" s="15" t="inlineStr"/>
      <c r="L32" s="15" t="inlineStr"/>
      <c r="M32" s="25" t="inlineStr">
        <is>
          <t>X</t>
        </is>
      </c>
      <c r="N32" s="25" t="inlineStr">
        <is>
          <t>X</t>
        </is>
      </c>
      <c r="O32" s="15" t="inlineStr"/>
      <c r="P32" s="15" t="inlineStr"/>
      <c r="Q32" s="15" t="inlineStr"/>
      <c r="R32" s="15" t="inlineStr"/>
      <c r="S32" s="15" t="inlineStr"/>
      <c r="T32" s="18" t="n">
        <v>0.02</v>
      </c>
    </row>
    <row r="33" ht="24" customHeight="1">
      <c r="A33" s="19" t="inlineStr">
        <is>
          <t>RA5</t>
        </is>
      </c>
      <c r="B33" s="20" t="n">
        <v>0.18</v>
      </c>
      <c r="C33" s="19" t="inlineStr">
        <is>
          <t>CE5.h</t>
        </is>
      </c>
      <c r="D33" s="21" t="inlineStr">
        <is>
          <t>Se han identificado procesos productivos sostenibles.</t>
        </is>
      </c>
      <c r="E33" s="22" t="inlineStr">
        <is>
          <t>UD06</t>
        </is>
      </c>
      <c r="F33" s="16">
        <f>COUNTIF(H33:S33, "X")</f>
        <v/>
      </c>
      <c r="G33" s="19">
        <f>IF(F33&gt;0, "EVALUADO", "SIN EVALUAR")</f>
        <v/>
      </c>
      <c r="H33" s="22" t="inlineStr"/>
      <c r="I33" s="22" t="inlineStr"/>
      <c r="J33" s="22" t="inlineStr"/>
      <c r="K33" s="22" t="inlineStr"/>
      <c r="L33" s="22" t="inlineStr"/>
      <c r="M33" s="22" t="inlineStr"/>
      <c r="N33" s="25" t="inlineStr">
        <is>
          <t>X</t>
        </is>
      </c>
      <c r="O33" s="22" t="inlineStr"/>
      <c r="P33" s="22" t="inlineStr"/>
      <c r="Q33" s="22" t="inlineStr"/>
      <c r="R33" s="24" t="inlineStr">
        <is>
          <t>X</t>
        </is>
      </c>
      <c r="S33" s="22" t="inlineStr"/>
      <c r="T33" s="23" t="n">
        <v>0.02</v>
      </c>
    </row>
    <row r="34" ht="24" customHeight="1">
      <c r="A34" s="12" t="inlineStr">
        <is>
          <t>RA5</t>
        </is>
      </c>
      <c r="B34" s="13" t="n">
        <v>0.18</v>
      </c>
      <c r="C34" s="12" t="inlineStr">
        <is>
          <t>CE5.i</t>
        </is>
      </c>
      <c r="D34" s="14" t="inlineStr">
        <is>
          <t>Se ha aplicado la normativa ambiental (RAEE, Ley 7/2022, LECA, ESPR).</t>
        </is>
      </c>
      <c r="E34" s="15" t="inlineStr">
        <is>
          <t>UD06</t>
        </is>
      </c>
      <c r="F34" s="16">
        <f>COUNTIF(H34:S34, "X")</f>
        <v/>
      </c>
      <c r="G34" s="12">
        <f>IF(F34&gt;0, "EVALUADO", "SIN EVALUAR")</f>
        <v/>
      </c>
      <c r="H34" s="15" t="inlineStr"/>
      <c r="I34" s="15" t="inlineStr"/>
      <c r="J34" s="15" t="inlineStr"/>
      <c r="K34" s="15" t="inlineStr"/>
      <c r="L34" s="25" t="inlineStr">
        <is>
          <t>X</t>
        </is>
      </c>
      <c r="M34" s="25" t="inlineStr">
        <is>
          <t>X</t>
        </is>
      </c>
      <c r="N34" s="25" t="inlineStr">
        <is>
          <t>X</t>
        </is>
      </c>
      <c r="O34" s="15" t="inlineStr"/>
      <c r="P34" s="15" t="inlineStr"/>
      <c r="Q34" s="15" t="inlineStr"/>
      <c r="R34" s="15" t="inlineStr"/>
      <c r="S34" s="15" t="inlineStr"/>
      <c r="T34" s="18" t="n">
        <v>0.02</v>
      </c>
    </row>
    <row r="35" ht="24" customHeight="1">
      <c r="A35" s="19" t="inlineStr">
        <is>
          <t>RA6</t>
        </is>
      </c>
      <c r="B35" s="20" t="n">
        <v>0.22</v>
      </c>
      <c r="C35" s="19" t="inlineStr">
        <is>
          <t>CE6.a</t>
        </is>
      </c>
      <c r="D35" s="21" t="inlineStr">
        <is>
          <t>Se han identificado los principales grupos de interés de la empresa TIC (stakeholders).</t>
        </is>
      </c>
      <c r="E35" s="22" t="inlineStr">
        <is>
          <t>UD07, UD09</t>
        </is>
      </c>
      <c r="F35" s="16">
        <f>COUNTIF(H35:S35, "X")</f>
        <v/>
      </c>
      <c r="G35" s="19">
        <f>IF(F35&gt;0, "EVALUADO", "SIN EVALUAR")</f>
        <v/>
      </c>
      <c r="H35" s="22" t="inlineStr"/>
      <c r="I35" s="22" t="inlineStr"/>
      <c r="J35" s="22" t="inlineStr"/>
      <c r="K35" s="22" t="inlineStr"/>
      <c r="L35" s="22" t="inlineStr"/>
      <c r="M35" s="22" t="inlineStr"/>
      <c r="N35" s="22" t="inlineStr"/>
      <c r="O35" s="22" t="inlineStr"/>
      <c r="P35" s="24" t="inlineStr">
        <is>
          <t>X</t>
        </is>
      </c>
      <c r="Q35" s="22" t="inlineStr"/>
      <c r="R35" s="24" t="inlineStr">
        <is>
          <t>X</t>
        </is>
      </c>
      <c r="S35" s="24" t="inlineStr">
        <is>
          <t>X</t>
        </is>
      </c>
      <c r="T35" s="23" t="n">
        <v>0.044</v>
      </c>
    </row>
    <row r="36" ht="24" customHeight="1">
      <c r="A36" s="12" t="inlineStr">
        <is>
          <t>RA6</t>
        </is>
      </c>
      <c r="B36" s="13" t="n">
        <v>0.22</v>
      </c>
      <c r="C36" s="12" t="inlineStr">
        <is>
          <t>CE6.b</t>
        </is>
      </c>
      <c r="D36" s="14" t="inlineStr">
        <is>
          <t>Se han analizado los aspectos ASG materiales y la matriz de doble materialidad.</t>
        </is>
      </c>
      <c r="E36" s="15" t="inlineStr">
        <is>
          <t>UD07</t>
        </is>
      </c>
      <c r="F36" s="16">
        <f>COUNTIF(H36:S36, "X")</f>
        <v/>
      </c>
      <c r="G36" s="12">
        <f>IF(F36&gt;0, "EVALUADO", "SIN EVALUAR")</f>
        <v/>
      </c>
      <c r="H36" s="15" t="inlineStr"/>
      <c r="I36" s="15" t="inlineStr"/>
      <c r="J36" s="15" t="inlineStr"/>
      <c r="K36" s="15" t="inlineStr"/>
      <c r="L36" s="15" t="inlineStr"/>
      <c r="M36" s="15" t="inlineStr"/>
      <c r="N36" s="15" t="inlineStr"/>
      <c r="O36" s="15" t="inlineStr"/>
      <c r="P36" s="24" t="inlineStr">
        <is>
          <t>X</t>
        </is>
      </c>
      <c r="Q36" s="15" t="inlineStr"/>
      <c r="R36" s="24" t="inlineStr">
        <is>
          <t>X</t>
        </is>
      </c>
      <c r="S36" s="15" t="inlineStr"/>
      <c r="T36" s="18" t="n">
        <v>0.044</v>
      </c>
    </row>
    <row r="37" ht="24" customHeight="1">
      <c r="A37" s="19" t="inlineStr">
        <is>
          <t>RA6</t>
        </is>
      </c>
      <c r="B37" s="20" t="n">
        <v>0.22</v>
      </c>
      <c r="C37" s="19" t="inlineStr">
        <is>
          <t>CE6.c</t>
        </is>
      </c>
      <c r="D37" s="21" t="inlineStr">
        <is>
          <t>Se han definido acciones de mitigación de impactos negativos y oportunidades.</t>
        </is>
      </c>
      <c r="E37" s="22" t="inlineStr">
        <is>
          <t>UD07</t>
        </is>
      </c>
      <c r="F37" s="16">
        <f>COUNTIF(H37:S37, "X")</f>
        <v/>
      </c>
      <c r="G37" s="19">
        <f>IF(F37&gt;0, "EVALUADO", "SIN EVALUAR")</f>
        <v/>
      </c>
      <c r="H37" s="22" t="inlineStr"/>
      <c r="I37" s="22" t="inlineStr"/>
      <c r="J37" s="22" t="inlineStr"/>
      <c r="K37" s="22" t="inlineStr"/>
      <c r="L37" s="22" t="inlineStr"/>
      <c r="M37" s="22" t="inlineStr"/>
      <c r="N37" s="22" t="inlineStr"/>
      <c r="O37" s="22" t="inlineStr"/>
      <c r="P37" s="22" t="inlineStr"/>
      <c r="Q37" s="24" t="inlineStr">
        <is>
          <t>X</t>
        </is>
      </c>
      <c r="R37" s="24" t="inlineStr">
        <is>
          <t>X</t>
        </is>
      </c>
      <c r="S37" s="24" t="inlineStr">
        <is>
          <t>X</t>
        </is>
      </c>
      <c r="T37" s="23" t="n">
        <v>0.044</v>
      </c>
    </row>
    <row r="38" ht="24" customHeight="1">
      <c r="A38" s="12" t="inlineStr">
        <is>
          <t>RA6</t>
        </is>
      </c>
      <c r="B38" s="13" t="n">
        <v>0.22</v>
      </c>
      <c r="C38" s="12" t="inlineStr">
        <is>
          <t>CE6.d</t>
        </is>
      </c>
      <c r="D38" s="14" t="inlineStr">
        <is>
          <t>Se han determinado métricas e indicadores de desempeño (GRI, ESRS, PUE, SCI).</t>
        </is>
      </c>
      <c r="E38" s="15" t="inlineStr">
        <is>
          <t>UD07, UD08</t>
        </is>
      </c>
      <c r="F38" s="16">
        <f>COUNTIF(H38:S38, "X")</f>
        <v/>
      </c>
      <c r="G38" s="12">
        <f>IF(F38&gt;0, "EVALUADO", "SIN EVALUAR")</f>
        <v/>
      </c>
      <c r="H38" s="15" t="inlineStr"/>
      <c r="I38" s="15" t="inlineStr"/>
      <c r="J38" s="15" t="inlineStr"/>
      <c r="K38" s="15" t="inlineStr"/>
      <c r="L38" s="15" t="inlineStr"/>
      <c r="M38" s="15" t="inlineStr"/>
      <c r="N38" s="15" t="inlineStr"/>
      <c r="O38" s="15" t="inlineStr"/>
      <c r="P38" s="15" t="inlineStr"/>
      <c r="Q38" s="24" t="inlineStr">
        <is>
          <t>X</t>
        </is>
      </c>
      <c r="R38" s="24" t="inlineStr">
        <is>
          <t>X</t>
        </is>
      </c>
      <c r="S38" s="15" t="inlineStr"/>
      <c r="T38" s="18" t="n">
        <v>0.044</v>
      </c>
    </row>
    <row r="39" ht="24" customHeight="1">
      <c r="A39" s="19" t="inlineStr">
        <is>
          <t>RA6</t>
        </is>
      </c>
      <c r="B39" s="20" t="n">
        <v>0.22</v>
      </c>
      <c r="C39" s="19" t="inlineStr">
        <is>
          <t>CE6.e</t>
        </is>
      </c>
      <c r="D39" s="21" t="inlineStr">
        <is>
          <t>Se ha elaborado un informe formal de sostenibilidad con el plan propuesto.</t>
        </is>
      </c>
      <c r="E39" s="22" t="inlineStr">
        <is>
          <t>UD07, UD08</t>
        </is>
      </c>
      <c r="F39" s="16">
        <f>COUNTIF(H39:S39, "X")</f>
        <v/>
      </c>
      <c r="G39" s="19">
        <f>IF(F39&gt;0, "EVALUADO", "SIN EVALUAR")</f>
        <v/>
      </c>
      <c r="H39" s="22" t="inlineStr"/>
      <c r="I39" s="22" t="inlineStr"/>
      <c r="J39" s="22" t="inlineStr"/>
      <c r="K39" s="22" t="inlineStr"/>
      <c r="L39" s="22" t="inlineStr"/>
      <c r="M39" s="22" t="inlineStr"/>
      <c r="N39" s="22" t="inlineStr"/>
      <c r="O39" s="22" t="inlineStr"/>
      <c r="P39" s="22" t="inlineStr"/>
      <c r="Q39" s="22" t="inlineStr"/>
      <c r="R39" s="24" t="inlineStr">
        <is>
          <t>X</t>
        </is>
      </c>
      <c r="S39" s="22" t="inlineStr"/>
      <c r="T39" s="23" t="n">
        <v>0.044</v>
      </c>
    </row>
    <row r="40" ht="24" customHeight="1">
      <c r="A40" s="26" t="inlineStr">
        <is>
          <t>TOTAL CRITERIOS EVALUADOS POR ESTA TAREA</t>
        </is>
      </c>
      <c r="H40" s="27">
        <f>COUNTIF(H$6:H$39, "X")</f>
        <v/>
      </c>
      <c r="I40" s="27">
        <f>COUNTIF(I$6:I$39, "X")</f>
        <v/>
      </c>
      <c r="J40" s="27">
        <f>COUNTIF(J$6:J$39, "X")</f>
        <v/>
      </c>
      <c r="K40" s="27">
        <f>COUNTIF(K$6:K$39, "X")</f>
        <v/>
      </c>
      <c r="L40" s="27">
        <f>COUNTIF(L$6:L$39, "X")</f>
        <v/>
      </c>
      <c r="M40" s="27">
        <f>COUNTIF(M$6:M$39, "X")</f>
        <v/>
      </c>
      <c r="N40" s="27">
        <f>COUNTIF(N$6:N$39, "X")</f>
        <v/>
      </c>
      <c r="O40" s="27">
        <f>COUNTIF(O$6:O$39, "X")</f>
        <v/>
      </c>
      <c r="P40" s="27">
        <f>COUNTIF(P$6:P$39, "X")</f>
        <v/>
      </c>
      <c r="Q40" s="27">
        <f>COUNTIF(Q$6:Q$39, "X")</f>
        <v/>
      </c>
      <c r="R40" s="27">
        <f>COUNTIF(R$6:R$39, "X")</f>
        <v/>
      </c>
      <c r="S40" s="27">
        <f>COUNTIF(S$6:S$39, "X")</f>
        <v/>
      </c>
      <c r="T40" s="28" t="inlineStr">
        <is>
          <t>100.0%</t>
        </is>
      </c>
    </row>
    <row r="41" ht="26" customHeight="1">
      <c r="A41" s="29" t="inlineStr">
        <is>
          <t>SUMA DE CRITERIOS EVALUADOS EN ESTA TAREA (Suma Directa con 'X')</t>
        </is>
      </c>
      <c r="H41" s="30">
        <f>SUMIF(H$6:H$39, "X", $T$6:$T$39)</f>
        <v/>
      </c>
      <c r="I41" s="30">
        <f>SUMIF(I$6:I$39, "X", $T$6:$T$39)</f>
        <v/>
      </c>
      <c r="J41" s="30">
        <f>SUMIF(J$6:J$39, "X", $T$6:$T$39)</f>
        <v/>
      </c>
      <c r="K41" s="30">
        <f>SUMIF(K$6:K$39, "X", $T$6:$T$39)</f>
        <v/>
      </c>
      <c r="L41" s="30">
        <f>SUMIF(L$6:L$39, "X", $T$6:$T$39)</f>
        <v/>
      </c>
      <c r="M41" s="30">
        <f>SUMIF(M$6:M$39, "X", $T$6:$T$39)</f>
        <v/>
      </c>
      <c r="N41" s="30">
        <f>SUMIF(N$6:N$39, "X", $T$6:$T$39)</f>
        <v/>
      </c>
      <c r="O41" s="30">
        <f>SUMIF(O$6:O$39, "X", $T$6:$T$39)</f>
        <v/>
      </c>
      <c r="P41" s="30">
        <f>SUMIF(P$6:P$39, "X", $T$6:$T$39)</f>
        <v/>
      </c>
      <c r="Q41" s="30">
        <f>SUMIF(Q$6:Q$39, "X", $T$6:$T$39)</f>
        <v/>
      </c>
      <c r="R41" s="30">
        <f>SUMIF(R$6:R$39, "X", $T$6:$T$39)</f>
        <v/>
      </c>
      <c r="S41" s="30">
        <f>SUMIF(S$6:S$39, "X", $T$6:$T$39)</f>
        <v/>
      </c>
      <c r="T41" s="31">
        <f>SUM(H41:S41)</f>
        <v/>
      </c>
    </row>
    <row r="42" ht="26" customHeight="1">
      <c r="A42" s="32" t="inlineStr">
        <is>
          <t>% PONDERACIÓN EN EL TRIMESTRE (Normalizado a 100% para boletín de notas)</t>
        </is>
      </c>
      <c r="H42" s="33">
        <f>IF(SUM($H$41:$K$41)=0, 0, H$41 / SUM($H$41:$K$41))</f>
        <v/>
      </c>
      <c r="I42" s="33">
        <f>IF(SUM($H$41:$K$41)=0, 0, I$41 / SUM($H$41:$K$41))</f>
        <v/>
      </c>
      <c r="J42" s="33">
        <f>IF(SUM($H$41:$K$41)=0, 0, J$41 / SUM($H$41:$K$41))</f>
        <v/>
      </c>
      <c r="K42" s="33">
        <f>IF(SUM($H$41:$K$41)=0, 0, K$41 / SUM($H$41:$K$41))</f>
        <v/>
      </c>
      <c r="L42" s="33">
        <f>IF(SUM($L$41:$O$41)=0, 0, L$41 / SUM($L$41:$O$41))</f>
        <v/>
      </c>
      <c r="M42" s="33">
        <f>IF(SUM($L$41:$O$41)=0, 0, M$41 / SUM($L$41:$O$41))</f>
        <v/>
      </c>
      <c r="N42" s="33">
        <f>IF(SUM($L$41:$O$41)=0, 0, N$41 / SUM($L$41:$O$41))</f>
        <v/>
      </c>
      <c r="O42" s="33">
        <f>IF(SUM($L$41:$O$41)=0, 0, O$41 / SUM($L$41:$O$41))</f>
        <v/>
      </c>
      <c r="P42" s="33">
        <f>IF(SUM($P$41:$S$41)=0, 0, P$41 / SUM($P$41:$S$41))</f>
        <v/>
      </c>
      <c r="Q42" s="33">
        <f>IF(SUM($P$41:$S$41)=0, 0, Q$41 / SUM($P$41:$S$41))</f>
        <v/>
      </c>
      <c r="R42" s="33">
        <f>IF(SUM($P$41:$S$41)=0, 0, R$41 / SUM($P$41:$S$41))</f>
        <v/>
      </c>
      <c r="S42" s="33">
        <f>IF(SUM($P$41:$S$41)=0, 0, S$41 / SUM($P$41:$S$41))</f>
        <v/>
      </c>
      <c r="T42" s="34" t="inlineStr">
        <is>
          <t>100% T1/T2/T3</t>
        </is>
      </c>
    </row>
  </sheetData>
  <mergeCells count="10">
    <mergeCell ref="A1:T1"/>
    <mergeCell ref="H4:K4"/>
    <mergeCell ref="A40:G40"/>
    <mergeCell ref="T4:T5"/>
    <mergeCell ref="A4:G4"/>
    <mergeCell ref="L4:O4"/>
    <mergeCell ref="P4:S4"/>
    <mergeCell ref="A2:T2"/>
    <mergeCell ref="A41:G41"/>
    <mergeCell ref="A42:G42"/>
  </mergeCells>
  <conditionalFormatting sqref="G6:G39">
    <cfRule type="cellIs" priority="1" operator="equal" dxfId="0" stopIfTrue="1">
      <formula>"EVALUADO"</formula>
    </cfRule>
    <cfRule type="cellIs" priority="2" operator="equal" dxfId="1" stopIfTrue="1">
      <formula>"SIN EVALUAR"</formula>
    </cfRule>
  </conditionalFormatting>
  <conditionalFormatting sqref="H6:S39">
    <cfRule type="cellIs" priority="3" operator="equal" dxfId="2" stopIfTrue="1">
      <formula>"X"</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showGridLines="1" workbookViewId="0">
      <selection activeCell="A1" sqref="A1"/>
    </sheetView>
  </sheetViews>
  <sheetFormatPr baseColWidth="8" defaultRowHeight="15"/>
  <cols>
    <col width="5" customWidth="1" min="1" max="1"/>
    <col width="25" customWidth="1" min="2" max="2"/>
    <col width="8" customWidth="1" min="3" max="3"/>
    <col width="12" customWidth="1" min="4" max="4"/>
    <col width="12" customWidth="1" min="5" max="5"/>
    <col width="13" customWidth="1" min="6" max="6"/>
    <col width="11" customWidth="1" min="7" max="7"/>
    <col width="12" customWidth="1" min="8" max="8"/>
    <col width="12" customWidth="1" min="9" max="9"/>
    <col width="13" customWidth="1" min="10" max="10"/>
    <col width="11" customWidth="1" min="11" max="11"/>
    <col width="12" customWidth="1" min="12" max="12"/>
    <col width="12" customWidth="1" min="13" max="13"/>
    <col width="13" customWidth="1" min="14" max="14"/>
    <col width="11" customWidth="1" min="15" max="15"/>
    <col width="14" customWidth="1" min="16" max="16"/>
    <col width="14" customWidth="1" min="17" max="17"/>
    <col width="14" customWidth="1" min="18" max="18"/>
    <col width="15" customWidth="1" min="19" max="19"/>
  </cols>
  <sheetData>
    <row r="1" ht="36" customHeight="1">
      <c r="A1" s="1" t="inlineStr">
        <is>
          <t>REGISTRO DE CALIFICACIONES POR TAREA — SOSTENIBILIDAD (1º DAW / DAM)</t>
        </is>
      </c>
    </row>
    <row r="2" ht="20" customHeight="1">
      <c r="A2" s="2" t="inlineStr">
        <is>
          <t>Introduce las notas obtenidas (0 a 10). Las columnas trimestrales y finales calculan los resultados con los pesos derivados dinámicamente de 'Matriz Criterios'.</t>
        </is>
      </c>
    </row>
    <row r="4">
      <c r="A4" s="3" t="inlineStr">
        <is>
          <t>DATOS DEL ALUMNADO</t>
        </is>
      </c>
      <c r="D4" s="4" t="inlineStr">
        <is>
          <t>1er TRIMESTRE (T1)</t>
        </is>
      </c>
      <c r="H4" s="5" t="inlineStr">
        <is>
          <t>2º TRIMESTRE (T2)</t>
        </is>
      </c>
      <c r="L4" s="6" t="inlineStr">
        <is>
          <t>3er TRIMESTRE (T3)</t>
        </is>
      </c>
      <c r="P4" s="7" t="inlineStr">
        <is>
          <t>CALIFICACIONES TRIMESTRALES Y MEDIA</t>
        </is>
      </c>
    </row>
    <row r="5" ht="36" customHeight="1">
      <c r="A5" s="35" t="inlineStr">
        <is>
          <t>Nº</t>
        </is>
      </c>
      <c r="B5" s="35" t="inlineStr">
        <is>
          <t>Apellidos, Nombre</t>
        </is>
      </c>
      <c r="C5" s="35" t="inlineStr">
        <is>
          <t>Grupo</t>
        </is>
      </c>
      <c r="D5" s="9" t="inlineStr">
        <is>
          <t>T01
Fundam. ASG</t>
        </is>
      </c>
      <c r="E5" s="9" t="inlineStr">
        <is>
          <t>T02
Retos TIC</t>
        </is>
      </c>
      <c r="F5" s="9" t="inlineStr">
        <is>
          <t>T03
Proy. Mapa</t>
        </is>
      </c>
      <c r="G5" s="9" t="inlineStr">
        <is>
          <t>T04
Debate T1</t>
        </is>
      </c>
      <c r="H5" s="10" t="inlineStr">
        <is>
          <t>T05
Circularidad</t>
        </is>
      </c>
      <c r="I5" s="10" t="inlineStr">
        <is>
          <t>T06
Green IT</t>
        </is>
      </c>
      <c r="J5" s="10" t="inlineStr">
        <is>
          <t>T07
Proy. Ecodiseño</t>
        </is>
      </c>
      <c r="K5" s="10" t="inlineStr">
        <is>
          <t>T08
Rigor T2</t>
        </is>
      </c>
      <c r="L5" s="11" t="inlineStr">
        <is>
          <t>T09
Reporte GRI</t>
        </is>
      </c>
      <c r="M5" s="11" t="inlineStr">
        <is>
          <t>T10
KPIs PUE</t>
        </is>
      </c>
      <c r="N5" s="11" t="inlineStr">
        <is>
          <t>T11
Plan CSRD</t>
        </is>
      </c>
      <c r="O5" s="11" t="inlineStr">
        <is>
          <t>T12
Dual &amp; Ética</t>
        </is>
      </c>
      <c r="P5" s="36" t="inlineStr">
        <is>
          <t>1º TRIMESTRE
(100% T1)</t>
        </is>
      </c>
      <c r="Q5" s="36" t="inlineStr">
        <is>
          <t>2º TRIMESTRE
(100% T2)</t>
        </is>
      </c>
      <c r="R5" s="36" t="inlineStr">
        <is>
          <t>3er TRIMESTRE
(100% T3)</t>
        </is>
      </c>
      <c r="S5" s="36" t="inlineStr">
        <is>
          <t>MEDIA CONTINUA
(Trimestres)</t>
        </is>
      </c>
    </row>
    <row r="6" ht="20" customHeight="1">
      <c r="A6" s="15" t="n">
        <v>1</v>
      </c>
      <c r="B6" s="37" t="inlineStr">
        <is>
          <t>Álvarez Gómez, Laura</t>
        </is>
      </c>
      <c r="C6" s="15" t="inlineStr">
        <is>
          <t>1º DAW/M</t>
        </is>
      </c>
      <c r="D6" s="38" t="n">
        <v>8.5</v>
      </c>
      <c r="E6" s="38" t="n">
        <v>9</v>
      </c>
      <c r="F6" s="38" t="n">
        <v>8.5</v>
      </c>
      <c r="G6" s="38" t="n">
        <v>9</v>
      </c>
      <c r="H6" s="38" t="n">
        <v>8.5</v>
      </c>
      <c r="I6" s="38" t="n">
        <v>9</v>
      </c>
      <c r="J6" s="38" t="n">
        <v>8.5</v>
      </c>
      <c r="K6" s="38" t="n">
        <v>9.5</v>
      </c>
      <c r="L6" s="38" t="n">
        <v>9</v>
      </c>
      <c r="M6" s="38" t="n">
        <v>8.5</v>
      </c>
      <c r="N6" s="38" t="n">
        <v>9</v>
      </c>
      <c r="O6" s="38" t="n">
        <v>9.5</v>
      </c>
      <c r="P6" s="39">
        <f>D6*'Matriz Criterios'!H$42 + E6*'Matriz Criterios'!I$42 + F6*'Matriz Criterios'!J$42 + G6*'Matriz Criterios'!K$42</f>
        <v/>
      </c>
      <c r="Q6" s="40">
        <f>H6*'Matriz Criterios'!L$42 + I6*'Matriz Criterios'!M$42 + J6*'Matriz Criterios'!N$42 + K6*'Matriz Criterios'!O$42</f>
        <v/>
      </c>
      <c r="R6" s="41">
        <f>L6*'Matriz Criterios'!P$42 + M6*'Matriz Criterios'!Q$42 + N6*'Matriz Criterios'!R$42 + O6*'Matriz Criterios'!S$42</f>
        <v/>
      </c>
      <c r="S6" s="42">
        <f>AVERAGE(P6, Q6, R6)</f>
        <v/>
      </c>
    </row>
    <row r="7" ht="20" customHeight="1">
      <c r="A7" s="22" t="n">
        <v>2</v>
      </c>
      <c r="B7" s="43" t="inlineStr">
        <is>
          <t>Benítez Romero, Carlos</t>
        </is>
      </c>
      <c r="C7" s="22" t="inlineStr">
        <is>
          <t>1º DAW/M</t>
        </is>
      </c>
      <c r="D7" s="44" t="n">
        <v>6</v>
      </c>
      <c r="E7" s="44" t="n">
        <v>6.5</v>
      </c>
      <c r="F7" s="44" t="n">
        <v>6</v>
      </c>
      <c r="G7" s="44" t="n">
        <v>7</v>
      </c>
      <c r="H7" s="44" t="n">
        <v>6.5</v>
      </c>
      <c r="I7" s="44" t="n">
        <v>6</v>
      </c>
      <c r="J7" s="44" t="n">
        <v>6.5</v>
      </c>
      <c r="K7" s="44" t="n">
        <v>7</v>
      </c>
      <c r="L7" s="44" t="n">
        <v>6</v>
      </c>
      <c r="M7" s="44" t="n">
        <v>6.5</v>
      </c>
      <c r="N7" s="44" t="n">
        <v>6</v>
      </c>
      <c r="O7" s="44" t="n">
        <v>7</v>
      </c>
      <c r="P7" s="39">
        <f>D7*'Matriz Criterios'!H$42 + E7*'Matriz Criterios'!I$42 + F7*'Matriz Criterios'!J$42 + G7*'Matriz Criterios'!K$42</f>
        <v/>
      </c>
      <c r="Q7" s="40">
        <f>H7*'Matriz Criterios'!L$42 + I7*'Matriz Criterios'!M$42 + J7*'Matriz Criterios'!N$42 + K7*'Matriz Criterios'!O$42</f>
        <v/>
      </c>
      <c r="R7" s="41">
        <f>L7*'Matriz Criterios'!P$42 + M7*'Matriz Criterios'!Q$42 + N7*'Matriz Criterios'!R$42 + O7*'Matriz Criterios'!S$42</f>
        <v/>
      </c>
      <c r="S7" s="42">
        <f>AVERAGE(P7, Q7, R7)</f>
        <v/>
      </c>
    </row>
    <row r="8" ht="20" customHeight="1">
      <c r="A8" s="15" t="n">
        <v>3</v>
      </c>
      <c r="B8" s="37" t="inlineStr">
        <is>
          <t>Castillo Morales, Elena</t>
        </is>
      </c>
      <c r="C8" s="15" t="inlineStr">
        <is>
          <t>1º DAW/M</t>
        </is>
      </c>
      <c r="D8" s="38" t="n">
        <v>9.5</v>
      </c>
      <c r="E8" s="38" t="n">
        <v>9.5</v>
      </c>
      <c r="F8" s="38" t="n">
        <v>10</v>
      </c>
      <c r="G8" s="38" t="n">
        <v>10</v>
      </c>
      <c r="H8" s="38" t="n">
        <v>10</v>
      </c>
      <c r="I8" s="38" t="n">
        <v>9.5</v>
      </c>
      <c r="J8" s="38" t="n">
        <v>10</v>
      </c>
      <c r="K8" s="38" t="n">
        <v>10</v>
      </c>
      <c r="L8" s="38" t="n">
        <v>9.5</v>
      </c>
      <c r="M8" s="38" t="n">
        <v>10</v>
      </c>
      <c r="N8" s="38" t="n">
        <v>10</v>
      </c>
      <c r="O8" s="38" t="n">
        <v>10</v>
      </c>
      <c r="P8" s="39">
        <f>D8*'Matriz Criterios'!H$42 + E8*'Matriz Criterios'!I$42 + F8*'Matriz Criterios'!J$42 + G8*'Matriz Criterios'!K$42</f>
        <v/>
      </c>
      <c r="Q8" s="40">
        <f>H8*'Matriz Criterios'!L$42 + I8*'Matriz Criterios'!M$42 + J8*'Matriz Criterios'!N$42 + K8*'Matriz Criterios'!O$42</f>
        <v/>
      </c>
      <c r="R8" s="41">
        <f>L8*'Matriz Criterios'!P$42 + M8*'Matriz Criterios'!Q$42 + N8*'Matriz Criterios'!R$42 + O8*'Matriz Criterios'!S$42</f>
        <v/>
      </c>
      <c r="S8" s="42">
        <f>AVERAGE(P8, Q8, R8)</f>
        <v/>
      </c>
    </row>
    <row r="9" ht="20" customHeight="1">
      <c r="A9" s="22" t="n">
        <v>4</v>
      </c>
      <c r="B9" s="43" t="inlineStr">
        <is>
          <t>Delgado Santos, Alejandro</t>
        </is>
      </c>
      <c r="C9" s="22" t="inlineStr">
        <is>
          <t>1º DAW/M</t>
        </is>
      </c>
      <c r="D9" s="44" t="n">
        <v>4.5</v>
      </c>
      <c r="E9" s="44" t="n">
        <v>5</v>
      </c>
      <c r="F9" s="44" t="n">
        <v>4.5</v>
      </c>
      <c r="G9" s="44" t="n">
        <v>6</v>
      </c>
      <c r="H9" s="44" t="n">
        <v>5</v>
      </c>
      <c r="I9" s="44" t="n">
        <v>4.5</v>
      </c>
      <c r="J9" s="44" t="n">
        <v>4.5</v>
      </c>
      <c r="K9" s="44" t="n">
        <v>5.5</v>
      </c>
      <c r="L9" s="44" t="n">
        <v>5</v>
      </c>
      <c r="M9" s="44" t="n">
        <v>4.5</v>
      </c>
      <c r="N9" s="44" t="n">
        <v>4</v>
      </c>
      <c r="O9" s="44" t="n">
        <v>5</v>
      </c>
      <c r="P9" s="39">
        <f>D9*'Matriz Criterios'!H$42 + E9*'Matriz Criterios'!I$42 + F9*'Matriz Criterios'!J$42 + G9*'Matriz Criterios'!K$42</f>
        <v/>
      </c>
      <c r="Q9" s="40">
        <f>H9*'Matriz Criterios'!L$42 + I9*'Matriz Criterios'!M$42 + J9*'Matriz Criterios'!N$42 + K9*'Matriz Criterios'!O$42</f>
        <v/>
      </c>
      <c r="R9" s="41">
        <f>L9*'Matriz Criterios'!P$42 + M9*'Matriz Criterios'!Q$42 + N9*'Matriz Criterios'!R$42 + O9*'Matriz Criterios'!S$42</f>
        <v/>
      </c>
      <c r="S9" s="42">
        <f>AVERAGE(P9, Q9, R9)</f>
        <v/>
      </c>
    </row>
    <row r="10" ht="20" customHeight="1">
      <c r="A10" s="15" t="n">
        <v>5</v>
      </c>
      <c r="B10" s="37" t="inlineStr">
        <is>
          <t>Fernández Navarro, Lucía</t>
        </is>
      </c>
      <c r="C10" s="15" t="inlineStr">
        <is>
          <t>1º DAW/M</t>
        </is>
      </c>
      <c r="D10" s="38" t="n">
        <v>7.5</v>
      </c>
      <c r="E10" s="38" t="n">
        <v>8</v>
      </c>
      <c r="F10" s="38" t="n">
        <v>7.5</v>
      </c>
      <c r="G10" s="38" t="n">
        <v>8.5</v>
      </c>
      <c r="H10" s="38" t="n">
        <v>7.5</v>
      </c>
      <c r="I10" s="38" t="n">
        <v>8</v>
      </c>
      <c r="J10" s="38" t="n">
        <v>7.5</v>
      </c>
      <c r="K10" s="38" t="n">
        <v>8.5</v>
      </c>
      <c r="L10" s="38" t="n">
        <v>8</v>
      </c>
      <c r="M10" s="38" t="n">
        <v>7.5</v>
      </c>
      <c r="N10" s="38" t="n">
        <v>8</v>
      </c>
      <c r="O10" s="38" t="n">
        <v>8.5</v>
      </c>
      <c r="P10" s="39">
        <f>D10*'Matriz Criterios'!H$42 + E10*'Matriz Criterios'!I$42 + F10*'Matriz Criterios'!J$42 + G10*'Matriz Criterios'!K$42</f>
        <v/>
      </c>
      <c r="Q10" s="40">
        <f>H10*'Matriz Criterios'!L$42 + I10*'Matriz Criterios'!M$42 + J10*'Matriz Criterios'!N$42 + K10*'Matriz Criterios'!O$42</f>
        <v/>
      </c>
      <c r="R10" s="41">
        <f>L10*'Matriz Criterios'!P$42 + M10*'Matriz Criterios'!Q$42 + N10*'Matriz Criterios'!R$42 + O10*'Matriz Criterios'!S$42</f>
        <v/>
      </c>
      <c r="S10" s="42">
        <f>AVERAGE(P10, Q10, R10)</f>
        <v/>
      </c>
    </row>
    <row r="11" ht="20" customHeight="1">
      <c r="A11" s="22" t="n">
        <v>6</v>
      </c>
      <c r="B11" s="43" t="inlineStr">
        <is>
          <t>García Serrano, David</t>
        </is>
      </c>
      <c r="C11" s="22" t="inlineStr">
        <is>
          <t>1º DAW/M</t>
        </is>
      </c>
      <c r="D11" s="44" t="n">
        <v>8</v>
      </c>
      <c r="E11" s="44" t="n">
        <v>8.5</v>
      </c>
      <c r="F11" s="44" t="n">
        <v>8</v>
      </c>
      <c r="G11" s="44" t="n">
        <v>8.5</v>
      </c>
      <c r="H11" s="44" t="n">
        <v>8</v>
      </c>
      <c r="I11" s="44" t="n">
        <v>8.5</v>
      </c>
      <c r="J11" s="44" t="n">
        <v>8</v>
      </c>
      <c r="K11" s="44" t="n">
        <v>8.5</v>
      </c>
      <c r="L11" s="44" t="n">
        <v>8.5</v>
      </c>
      <c r="M11" s="44" t="n">
        <v>8</v>
      </c>
      <c r="N11" s="44" t="n">
        <v>8.5</v>
      </c>
      <c r="O11" s="44" t="n">
        <v>8.5</v>
      </c>
      <c r="P11" s="39">
        <f>D11*'Matriz Criterios'!H$42 + E11*'Matriz Criterios'!I$42 + F11*'Matriz Criterios'!J$42 + G11*'Matriz Criterios'!K$42</f>
        <v/>
      </c>
      <c r="Q11" s="40">
        <f>H11*'Matriz Criterios'!L$42 + I11*'Matriz Criterios'!M$42 + J11*'Matriz Criterios'!N$42 + K11*'Matriz Criterios'!O$42</f>
        <v/>
      </c>
      <c r="R11" s="41">
        <f>L11*'Matriz Criterios'!P$42 + M11*'Matriz Criterios'!Q$42 + N11*'Matriz Criterios'!R$42 + O11*'Matriz Criterios'!S$42</f>
        <v/>
      </c>
      <c r="S11" s="42">
        <f>AVERAGE(P11, Q11, R11)</f>
        <v/>
      </c>
    </row>
    <row r="12" ht="20" customHeight="1">
      <c r="A12" s="15" t="n">
        <v>7</v>
      </c>
      <c r="B12" s="37" t="inlineStr">
        <is>
          <t>Herrera Cruz, Marta</t>
        </is>
      </c>
      <c r="C12" s="15" t="inlineStr">
        <is>
          <t>1º DAW/M</t>
        </is>
      </c>
      <c r="D12" s="38" t="n">
        <v>9</v>
      </c>
      <c r="E12" s="38" t="n">
        <v>9</v>
      </c>
      <c r="F12" s="38" t="n">
        <v>9.5</v>
      </c>
      <c r="G12" s="38" t="n">
        <v>9.5</v>
      </c>
      <c r="H12" s="38" t="n">
        <v>9</v>
      </c>
      <c r="I12" s="38" t="n">
        <v>9.5</v>
      </c>
      <c r="J12" s="38" t="n">
        <v>9</v>
      </c>
      <c r="K12" s="38" t="n">
        <v>9.5</v>
      </c>
      <c r="L12" s="38" t="n">
        <v>9.5</v>
      </c>
      <c r="M12" s="38" t="n">
        <v>9</v>
      </c>
      <c r="N12" s="38" t="n">
        <v>9.5</v>
      </c>
      <c r="O12" s="38" t="n">
        <v>9.5</v>
      </c>
      <c r="P12" s="39">
        <f>D12*'Matriz Criterios'!H$42 + E12*'Matriz Criterios'!I$42 + F12*'Matriz Criterios'!J$42 + G12*'Matriz Criterios'!K$42</f>
        <v/>
      </c>
      <c r="Q12" s="40">
        <f>H12*'Matriz Criterios'!L$42 + I12*'Matriz Criterios'!M$42 + J12*'Matriz Criterios'!N$42 + K12*'Matriz Criterios'!O$42</f>
        <v/>
      </c>
      <c r="R12" s="41">
        <f>L12*'Matriz Criterios'!P$42 + M12*'Matriz Criterios'!Q$42 + N12*'Matriz Criterios'!R$42 + O12*'Matriz Criterios'!S$42</f>
        <v/>
      </c>
      <c r="S12" s="42">
        <f>AVERAGE(P12, Q12, R12)</f>
        <v/>
      </c>
    </row>
    <row r="13" ht="20" customHeight="1">
      <c r="A13" s="22" t="n">
        <v>8</v>
      </c>
      <c r="B13" s="43" t="inlineStr">
        <is>
          <t>Jiménez Ortiz, Pablo</t>
        </is>
      </c>
      <c r="C13" s="22" t="inlineStr">
        <is>
          <t>1º DAW/M</t>
        </is>
      </c>
      <c r="D13" s="44" t="n">
        <v>5.5</v>
      </c>
      <c r="E13" s="44" t="n">
        <v>5.5</v>
      </c>
      <c r="F13" s="44" t="n">
        <v>6</v>
      </c>
      <c r="G13" s="44" t="n">
        <v>6.5</v>
      </c>
      <c r="H13" s="44" t="n">
        <v>5.5</v>
      </c>
      <c r="I13" s="44" t="n">
        <v>6</v>
      </c>
      <c r="J13" s="44" t="n">
        <v>5.5</v>
      </c>
      <c r="K13" s="44" t="n">
        <v>6.5</v>
      </c>
      <c r="L13" s="44" t="n">
        <v>6</v>
      </c>
      <c r="M13" s="44" t="n">
        <v>5.5</v>
      </c>
      <c r="N13" s="44" t="n">
        <v>5.5</v>
      </c>
      <c r="O13" s="44" t="n">
        <v>6.5</v>
      </c>
      <c r="P13" s="39">
        <f>D13*'Matriz Criterios'!H$42 + E13*'Matriz Criterios'!I$42 + F13*'Matriz Criterios'!J$42 + G13*'Matriz Criterios'!K$42</f>
        <v/>
      </c>
      <c r="Q13" s="40">
        <f>H13*'Matriz Criterios'!L$42 + I13*'Matriz Criterios'!M$42 + J13*'Matriz Criterios'!N$42 + K13*'Matriz Criterios'!O$42</f>
        <v/>
      </c>
      <c r="R13" s="41">
        <f>L13*'Matriz Criterios'!P$42 + M13*'Matriz Criterios'!Q$42 + N13*'Matriz Criterios'!R$42 + O13*'Matriz Criterios'!S$42</f>
        <v/>
      </c>
      <c r="S13" s="42">
        <f>AVERAGE(P13, Q13, R13)</f>
        <v/>
      </c>
    </row>
    <row r="14" ht="20" customHeight="1">
      <c r="A14" s="15" t="n">
        <v>9</v>
      </c>
      <c r="B14" s="37" t="inlineStr">
        <is>
          <t>López Molina, Sara</t>
        </is>
      </c>
      <c r="C14" s="15" t="inlineStr">
        <is>
          <t>1º DAW/M</t>
        </is>
      </c>
      <c r="D14" s="38" t="n">
        <v>10</v>
      </c>
      <c r="E14" s="38" t="n">
        <v>9.5</v>
      </c>
      <c r="F14" s="38" t="n">
        <v>10</v>
      </c>
      <c r="G14" s="38" t="n">
        <v>10</v>
      </c>
      <c r="H14" s="38" t="n">
        <v>10</v>
      </c>
      <c r="I14" s="38" t="n">
        <v>9.5</v>
      </c>
      <c r="J14" s="38" t="n">
        <v>10</v>
      </c>
      <c r="K14" s="38" t="n">
        <v>10</v>
      </c>
      <c r="L14" s="38" t="n">
        <v>10</v>
      </c>
      <c r="M14" s="38" t="n">
        <v>9.5</v>
      </c>
      <c r="N14" s="38" t="n">
        <v>10</v>
      </c>
      <c r="O14" s="38" t="n">
        <v>10</v>
      </c>
      <c r="P14" s="39">
        <f>D14*'Matriz Criterios'!H$42 + E14*'Matriz Criterios'!I$42 + F14*'Matriz Criterios'!J$42 + G14*'Matriz Criterios'!K$42</f>
        <v/>
      </c>
      <c r="Q14" s="40">
        <f>H14*'Matriz Criterios'!L$42 + I14*'Matriz Criterios'!M$42 + J14*'Matriz Criterios'!N$42 + K14*'Matriz Criterios'!O$42</f>
        <v/>
      </c>
      <c r="R14" s="41">
        <f>L14*'Matriz Criterios'!P$42 + M14*'Matriz Criterios'!Q$42 + N14*'Matriz Criterios'!R$42 + O14*'Matriz Criterios'!S$42</f>
        <v/>
      </c>
      <c r="S14" s="42">
        <f>AVERAGE(P14, Q14, R14)</f>
        <v/>
      </c>
    </row>
    <row r="15" ht="20" customHeight="1">
      <c r="A15" s="22" t="n">
        <v>10</v>
      </c>
      <c r="B15" s="43" t="inlineStr">
        <is>
          <t>Martín Vega, Javier</t>
        </is>
      </c>
      <c r="C15" s="22" t="inlineStr">
        <is>
          <t>1º DAW/M</t>
        </is>
      </c>
      <c r="D15" s="44" t="n">
        <v>3.5</v>
      </c>
      <c r="E15" s="44" t="n">
        <v>4</v>
      </c>
      <c r="F15" s="44" t="n">
        <v>4</v>
      </c>
      <c r="G15" s="44" t="n">
        <v>5</v>
      </c>
      <c r="H15" s="44" t="n">
        <v>4</v>
      </c>
      <c r="I15" s="44" t="n">
        <v>4.5</v>
      </c>
      <c r="J15" s="44" t="n">
        <v>4</v>
      </c>
      <c r="K15" s="44" t="n">
        <v>4.5</v>
      </c>
      <c r="L15" s="44" t="n">
        <v>4</v>
      </c>
      <c r="M15" s="44" t="n">
        <v>4</v>
      </c>
      <c r="N15" s="44" t="n">
        <v>4</v>
      </c>
      <c r="O15" s="44" t="n">
        <v>4.5</v>
      </c>
      <c r="P15" s="39">
        <f>D15*'Matriz Criterios'!H$42 + E15*'Matriz Criterios'!I$42 + F15*'Matriz Criterios'!J$42 + G15*'Matriz Criterios'!K$42</f>
        <v/>
      </c>
      <c r="Q15" s="40">
        <f>H15*'Matriz Criterios'!L$42 + I15*'Matriz Criterios'!M$42 + J15*'Matriz Criterios'!N$42 + K15*'Matriz Criterios'!O$42</f>
        <v/>
      </c>
      <c r="R15" s="41">
        <f>L15*'Matriz Criterios'!P$42 + M15*'Matriz Criterios'!Q$42 + N15*'Matriz Criterios'!R$42 + O15*'Matriz Criterios'!S$42</f>
        <v/>
      </c>
      <c r="S15" s="42">
        <f>AVERAGE(P15, Q15, R15)</f>
        <v/>
      </c>
    </row>
    <row r="16" ht="20" customHeight="1">
      <c r="A16" s="15" t="n">
        <v>11</v>
      </c>
      <c r="B16" s="37" t="inlineStr">
        <is>
          <t>Navarro Gil, Ana</t>
        </is>
      </c>
      <c r="C16" s="15" t="inlineStr">
        <is>
          <t>1º DAW/M</t>
        </is>
      </c>
      <c r="D16" s="38" t="n">
        <v>8</v>
      </c>
      <c r="E16" s="38" t="n">
        <v>8.5</v>
      </c>
      <c r="F16" s="38" t="n">
        <v>8</v>
      </c>
      <c r="G16" s="38" t="n">
        <v>9</v>
      </c>
      <c r="H16" s="38" t="n">
        <v>8.5</v>
      </c>
      <c r="I16" s="38" t="n">
        <v>8</v>
      </c>
      <c r="J16" s="38" t="n">
        <v>8.5</v>
      </c>
      <c r="K16" s="38" t="n">
        <v>9</v>
      </c>
      <c r="L16" s="38" t="n">
        <v>8</v>
      </c>
      <c r="M16" s="38" t="n">
        <v>8.5</v>
      </c>
      <c r="N16" s="38" t="n">
        <v>8.5</v>
      </c>
      <c r="O16" s="38" t="n">
        <v>9</v>
      </c>
      <c r="P16" s="39">
        <f>D16*'Matriz Criterios'!H$42 + E16*'Matriz Criterios'!I$42 + F16*'Matriz Criterios'!J$42 + G16*'Matriz Criterios'!K$42</f>
        <v/>
      </c>
      <c r="Q16" s="40">
        <f>H16*'Matriz Criterios'!L$42 + I16*'Matriz Criterios'!M$42 + J16*'Matriz Criterios'!N$42 + K16*'Matriz Criterios'!O$42</f>
        <v/>
      </c>
      <c r="R16" s="41">
        <f>L16*'Matriz Criterios'!P$42 + M16*'Matriz Criterios'!Q$42 + N16*'Matriz Criterios'!R$42 + O16*'Matriz Criterios'!S$42</f>
        <v/>
      </c>
      <c r="S16" s="42">
        <f>AVERAGE(P16, Q16, R16)</f>
        <v/>
      </c>
    </row>
    <row r="17" ht="20" customHeight="1">
      <c r="A17" s="22" t="n">
        <v>12</v>
      </c>
      <c r="B17" s="43" t="inlineStr">
        <is>
          <t>Pérez Rubio, Álvaro</t>
        </is>
      </c>
      <c r="C17" s="22" t="inlineStr">
        <is>
          <t>1º DAW/M</t>
        </is>
      </c>
      <c r="D17" s="44" t="n">
        <v>7</v>
      </c>
      <c r="E17" s="44" t="n">
        <v>7</v>
      </c>
      <c r="F17" s="44" t="n">
        <v>7.5</v>
      </c>
      <c r="G17" s="44" t="n">
        <v>7.5</v>
      </c>
      <c r="H17" s="44" t="n">
        <v>7.5</v>
      </c>
      <c r="I17" s="44" t="n">
        <v>7</v>
      </c>
      <c r="J17" s="44" t="n">
        <v>7.5</v>
      </c>
      <c r="K17" s="44" t="n">
        <v>7.5</v>
      </c>
      <c r="L17" s="44" t="n">
        <v>7</v>
      </c>
      <c r="M17" s="44" t="n">
        <v>7.5</v>
      </c>
      <c r="N17" s="44" t="n">
        <v>7</v>
      </c>
      <c r="O17" s="44" t="n">
        <v>7.5</v>
      </c>
      <c r="P17" s="39">
        <f>D17*'Matriz Criterios'!H$42 + E17*'Matriz Criterios'!I$42 + F17*'Matriz Criterios'!J$42 + G17*'Matriz Criterios'!K$42</f>
        <v/>
      </c>
      <c r="Q17" s="40">
        <f>H17*'Matriz Criterios'!L$42 + I17*'Matriz Criterios'!M$42 + J17*'Matriz Criterios'!N$42 + K17*'Matriz Criterios'!O$42</f>
        <v/>
      </c>
      <c r="R17" s="41">
        <f>L17*'Matriz Criterios'!P$42 + M17*'Matriz Criterios'!Q$42 + N17*'Matriz Criterios'!R$42 + O17*'Matriz Criterios'!S$42</f>
        <v/>
      </c>
      <c r="S17" s="42">
        <f>AVERAGE(P17, Q17, R17)</f>
        <v/>
      </c>
    </row>
    <row r="18" ht="20" customHeight="1">
      <c r="A18" s="15" t="n">
        <v>13</v>
      </c>
      <c r="B18" s="37" t="inlineStr">
        <is>
          <t>Ramírez Soto, Carmen</t>
        </is>
      </c>
      <c r="C18" s="15" t="inlineStr">
        <is>
          <t>1º DAW/M</t>
        </is>
      </c>
      <c r="D18" s="38" t="n">
        <v>6.5</v>
      </c>
      <c r="E18" s="38" t="n">
        <v>6.5</v>
      </c>
      <c r="F18" s="38" t="n">
        <v>7</v>
      </c>
      <c r="G18" s="38" t="n">
        <v>7</v>
      </c>
      <c r="H18" s="38" t="n">
        <v>7</v>
      </c>
      <c r="I18" s="38" t="n">
        <v>6.5</v>
      </c>
      <c r="J18" s="38" t="n">
        <v>7</v>
      </c>
      <c r="K18" s="38" t="n">
        <v>7</v>
      </c>
      <c r="L18" s="38" t="n">
        <v>6.5</v>
      </c>
      <c r="M18" s="38" t="n">
        <v>7</v>
      </c>
      <c r="N18" s="38" t="n">
        <v>6.5</v>
      </c>
      <c r="O18" s="38" t="n">
        <v>7</v>
      </c>
      <c r="P18" s="39">
        <f>D18*'Matriz Criterios'!H$42 + E18*'Matriz Criterios'!I$42 + F18*'Matriz Criterios'!J$42 + G18*'Matriz Criterios'!K$42</f>
        <v/>
      </c>
      <c r="Q18" s="40">
        <f>H18*'Matriz Criterios'!L$42 + I18*'Matriz Criterios'!M$42 + J18*'Matriz Criterios'!N$42 + K18*'Matriz Criterios'!O$42</f>
        <v/>
      </c>
      <c r="R18" s="41">
        <f>L18*'Matriz Criterios'!P$42 + M18*'Matriz Criterios'!Q$42 + N18*'Matriz Criterios'!R$42 + O18*'Matriz Criterios'!S$42</f>
        <v/>
      </c>
      <c r="S18" s="42">
        <f>AVERAGE(P18, Q18, R18)</f>
        <v/>
      </c>
    </row>
    <row r="19" ht="20" customHeight="1">
      <c r="A19" s="22" t="n">
        <v>14</v>
      </c>
      <c r="B19" s="43" t="inlineStr">
        <is>
          <t>Sánchez Vidal, Daniel</t>
        </is>
      </c>
      <c r="C19" s="22" t="inlineStr">
        <is>
          <t>1º DAW/M</t>
        </is>
      </c>
      <c r="D19" s="44" t="n">
        <v>8.5</v>
      </c>
      <c r="E19" s="44" t="n">
        <v>9</v>
      </c>
      <c r="F19" s="44" t="n">
        <v>8.5</v>
      </c>
      <c r="G19" s="44" t="n">
        <v>9.5</v>
      </c>
      <c r="H19" s="44" t="n">
        <v>9</v>
      </c>
      <c r="I19" s="44" t="n">
        <v>8.5</v>
      </c>
      <c r="J19" s="44" t="n">
        <v>9</v>
      </c>
      <c r="K19" s="44" t="n">
        <v>9.5</v>
      </c>
      <c r="L19" s="44" t="n">
        <v>9</v>
      </c>
      <c r="M19" s="44" t="n">
        <v>8.5</v>
      </c>
      <c r="N19" s="44" t="n">
        <v>9</v>
      </c>
      <c r="O19" s="44" t="n">
        <v>9.5</v>
      </c>
      <c r="P19" s="39">
        <f>D19*'Matriz Criterios'!H$42 + E19*'Matriz Criterios'!I$42 + F19*'Matriz Criterios'!J$42 + G19*'Matriz Criterios'!K$42</f>
        <v/>
      </c>
      <c r="Q19" s="40">
        <f>H19*'Matriz Criterios'!L$42 + I19*'Matriz Criterios'!M$42 + J19*'Matriz Criterios'!N$42 + K19*'Matriz Criterios'!O$42</f>
        <v/>
      </c>
      <c r="R19" s="41">
        <f>L19*'Matriz Criterios'!P$42 + M19*'Matriz Criterios'!Q$42 + N19*'Matriz Criterios'!R$42 + O19*'Matriz Criterios'!S$42</f>
        <v/>
      </c>
      <c r="S19" s="42">
        <f>AVERAGE(P19, Q19, R19)</f>
        <v/>
      </c>
    </row>
    <row r="20" ht="20" customHeight="1">
      <c r="A20" s="15" t="n">
        <v>15</v>
      </c>
      <c r="B20" s="37" t="inlineStr">
        <is>
          <t>Torres Lozano, Irene</t>
        </is>
      </c>
      <c r="C20" s="15" t="inlineStr">
        <is>
          <t>1º DAW/M</t>
        </is>
      </c>
      <c r="D20" s="38" t="n">
        <v>9</v>
      </c>
      <c r="E20" s="38" t="n">
        <v>9.5</v>
      </c>
      <c r="F20" s="38" t="n">
        <v>9</v>
      </c>
      <c r="G20" s="38" t="n">
        <v>9.5</v>
      </c>
      <c r="H20" s="38" t="n">
        <v>9.5</v>
      </c>
      <c r="I20" s="38" t="n">
        <v>9</v>
      </c>
      <c r="J20" s="38" t="n">
        <v>9.5</v>
      </c>
      <c r="K20" s="38" t="n">
        <v>10</v>
      </c>
      <c r="L20" s="38" t="n">
        <v>9</v>
      </c>
      <c r="M20" s="38" t="n">
        <v>9.5</v>
      </c>
      <c r="N20" s="38" t="n">
        <v>9.5</v>
      </c>
      <c r="O20" s="38" t="n">
        <v>10</v>
      </c>
      <c r="P20" s="39">
        <f>D20*'Matriz Criterios'!H$42 + E20*'Matriz Criterios'!I$42 + F20*'Matriz Criterios'!J$42 + G20*'Matriz Criterios'!K$42</f>
        <v/>
      </c>
      <c r="Q20" s="40">
        <f>H20*'Matriz Criterios'!L$42 + I20*'Matriz Criterios'!M$42 + J20*'Matriz Criterios'!N$42 + K20*'Matriz Criterios'!O$42</f>
        <v/>
      </c>
      <c r="R20" s="41">
        <f>L20*'Matriz Criterios'!P$42 + M20*'Matriz Criterios'!Q$42 + N20*'Matriz Criterios'!R$42 + O20*'Matriz Criterios'!S$42</f>
        <v/>
      </c>
      <c r="S20" s="42">
        <f>AVERAGE(P20, Q20, R20)</f>
        <v/>
      </c>
    </row>
    <row r="21" ht="24" customHeight="1">
      <c r="A21" s="45" t="inlineStr">
        <is>
          <t>PROMEDIO DEL GRUPO</t>
        </is>
      </c>
      <c r="B21" s="46" t="n"/>
      <c r="C21" s="46" t="n"/>
      <c r="D21" s="47">
        <f>AVERAGE(D6:D20)</f>
        <v/>
      </c>
      <c r="E21" s="47">
        <f>AVERAGE(E6:E20)</f>
        <v/>
      </c>
      <c r="F21" s="47">
        <f>AVERAGE(F6:F20)</f>
        <v/>
      </c>
      <c r="G21" s="47">
        <f>AVERAGE(G6:G20)</f>
        <v/>
      </c>
      <c r="H21" s="47">
        <f>AVERAGE(H6:H20)</f>
        <v/>
      </c>
      <c r="I21" s="47">
        <f>AVERAGE(I6:I20)</f>
        <v/>
      </c>
      <c r="J21" s="47">
        <f>AVERAGE(J6:J20)</f>
        <v/>
      </c>
      <c r="K21" s="47">
        <f>AVERAGE(K6:K20)</f>
        <v/>
      </c>
      <c r="L21" s="47">
        <f>AVERAGE(L6:L20)</f>
        <v/>
      </c>
      <c r="M21" s="47">
        <f>AVERAGE(M6:M20)</f>
        <v/>
      </c>
      <c r="N21" s="47">
        <f>AVERAGE(N6:N20)</f>
        <v/>
      </c>
      <c r="O21" s="47">
        <f>AVERAGE(O6:O20)</f>
        <v/>
      </c>
      <c r="P21" s="47">
        <f>AVERAGE(P6:P20)</f>
        <v/>
      </c>
      <c r="Q21" s="47">
        <f>AVERAGE(Q6:Q20)</f>
        <v/>
      </c>
      <c r="R21" s="47">
        <f>AVERAGE(R6:R20)</f>
        <v/>
      </c>
      <c r="S21" s="47">
        <f>AVERAGE(S6:S20)</f>
        <v/>
      </c>
    </row>
  </sheetData>
  <mergeCells count="8">
    <mergeCell ref="H4:K4"/>
    <mergeCell ref="A1:S1"/>
    <mergeCell ref="L4:O4"/>
    <mergeCell ref="P4:S4"/>
    <mergeCell ref="A21:C21"/>
    <mergeCell ref="A4:C4"/>
    <mergeCell ref="A2:S2"/>
    <mergeCell ref="D4:G4"/>
  </mergeCells>
  <conditionalFormatting sqref="P6:S20">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
  <sheetViews>
    <sheetView showGridLines="1" workbookViewId="0">
      <selection activeCell="A1" sqref="A1"/>
    </sheetView>
  </sheetViews>
  <sheetFormatPr baseColWidth="8" defaultRowHeight="15"/>
  <cols>
    <col width="5" customWidth="1" min="1" max="1"/>
    <col width="2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12" customWidth="1" min="37" max="37"/>
    <col width="12" customWidth="1" min="38" max="38"/>
  </cols>
  <sheetData>
    <row r="1" ht="36" customHeight="1">
      <c r="A1" s="1" t="inlineStr">
        <is>
          <t>CALIFICACIÓN DETALLADA POR CRITERIOS DE EVALUACIÓN (CE1.a a CE6.e) — SOSTENIBILIDAD</t>
        </is>
      </c>
    </row>
    <row r="2" ht="20" customHeight="1">
      <c r="A2" s="2" t="inlineStr">
        <is>
          <t>Cálculo matemático automático: cada criterio se calcula promediando exclusivamente las tareas donde tiene marcada una 'X' en la 'Matriz Criterios'.</t>
        </is>
      </c>
    </row>
    <row r="4">
      <c r="A4" s="3" t="inlineStr">
        <is>
          <t>ALUMNADO</t>
        </is>
      </c>
      <c r="C4" s="4" t="inlineStr">
        <is>
          <t>RA1 (18%) — Aspectos ASG, Desarrollo Sostenible y Marcos Internacionales</t>
        </is>
      </c>
      <c r="I4" s="5" t="inlineStr">
        <is>
          <t>RA2 (15%) — Retos Ambientales y Sociales en el Sector TIC</t>
        </is>
      </c>
      <c r="N4" s="7" t="inlineStr">
        <is>
          <t>RA3 (9%) — Criterios Personales y Profesionales</t>
        </is>
      </c>
      <c r="Q4" s="48" t="inlineStr">
        <is>
          <t>RA4 (18%) — Economía Circular y Ecodiseño TIC</t>
        </is>
      </c>
      <c r="W4" s="49" t="inlineStr">
        <is>
          <t>RA5 (18%) — Actividades Sostenibles, Green IT y Normativa RAEE</t>
        </is>
      </c>
      <c r="AF4" s="6" t="inlineStr">
        <is>
          <t>RA6 (22%) — Plan de Sostenibilidad e Informe CSRD/GRI</t>
        </is>
      </c>
      <c r="AK4" s="3" t="inlineStr">
        <is>
          <t>RESUMEN DE CRITERIOS</t>
        </is>
      </c>
    </row>
    <row r="5" ht="30" customHeight="1">
      <c r="A5" s="35" t="inlineStr">
        <is>
          <t>Nº</t>
        </is>
      </c>
      <c r="B5" s="50" t="inlineStr">
        <is>
          <t>Apellidos, Nombre</t>
        </is>
      </c>
      <c r="C5" s="9" t="inlineStr">
        <is>
          <t>CE1.a</t>
        </is>
      </c>
      <c r="D5" s="9" t="inlineStr">
        <is>
          <t>CE1.b</t>
        </is>
      </c>
      <c r="E5" s="9" t="inlineStr">
        <is>
          <t>CE1.c</t>
        </is>
      </c>
      <c r="F5" s="9" t="inlineStr">
        <is>
          <t>CE1.d</t>
        </is>
      </c>
      <c r="G5" s="9" t="inlineStr">
        <is>
          <t>CE1.e</t>
        </is>
      </c>
      <c r="H5" s="9" t="inlineStr">
        <is>
          <t>CE1.f</t>
        </is>
      </c>
      <c r="I5" s="10" t="inlineStr">
        <is>
          <t>CE2.a</t>
        </is>
      </c>
      <c r="J5" s="10" t="inlineStr">
        <is>
          <t>CE2.b</t>
        </is>
      </c>
      <c r="K5" s="10" t="inlineStr">
        <is>
          <t>CE2.c</t>
        </is>
      </c>
      <c r="L5" s="10" t="inlineStr">
        <is>
          <t>CE2.d</t>
        </is>
      </c>
      <c r="M5" s="10" t="inlineStr">
        <is>
          <t>CE2.e</t>
        </is>
      </c>
      <c r="N5" s="36" t="inlineStr">
        <is>
          <t>CE3.a</t>
        </is>
      </c>
      <c r="O5" s="36" t="inlineStr">
        <is>
          <t>CE3.b</t>
        </is>
      </c>
      <c r="P5" s="36" t="inlineStr">
        <is>
          <t>CE3.c</t>
        </is>
      </c>
      <c r="Q5" s="51" t="inlineStr">
        <is>
          <t>CE4.a</t>
        </is>
      </c>
      <c r="R5" s="51" t="inlineStr">
        <is>
          <t>CE4.b</t>
        </is>
      </c>
      <c r="S5" s="51" t="inlineStr">
        <is>
          <t>CE4.c</t>
        </is>
      </c>
      <c r="T5" s="51" t="inlineStr">
        <is>
          <t>CE4.d</t>
        </is>
      </c>
      <c r="U5" s="51" t="inlineStr">
        <is>
          <t>CE4.e</t>
        </is>
      </c>
      <c r="V5" s="51" t="inlineStr">
        <is>
          <t>CE4.f</t>
        </is>
      </c>
      <c r="W5" s="52" t="inlineStr">
        <is>
          <t>CE5.a</t>
        </is>
      </c>
      <c r="X5" s="52" t="inlineStr">
        <is>
          <t>CE5.b</t>
        </is>
      </c>
      <c r="Y5" s="52" t="inlineStr">
        <is>
          <t>CE5.c</t>
        </is>
      </c>
      <c r="Z5" s="52" t="inlineStr">
        <is>
          <t>CE5.d</t>
        </is>
      </c>
      <c r="AA5" s="52" t="inlineStr">
        <is>
          <t>CE5.e</t>
        </is>
      </c>
      <c r="AB5" s="52" t="inlineStr">
        <is>
          <t>CE5.f</t>
        </is>
      </c>
      <c r="AC5" s="52" t="inlineStr">
        <is>
          <t>CE5.g</t>
        </is>
      </c>
      <c r="AD5" s="52" t="inlineStr">
        <is>
          <t>CE5.h</t>
        </is>
      </c>
      <c r="AE5" s="52" t="inlineStr">
        <is>
          <t>CE5.i</t>
        </is>
      </c>
      <c r="AF5" s="11" t="inlineStr">
        <is>
          <t>CE6.a</t>
        </is>
      </c>
      <c r="AG5" s="11" t="inlineStr">
        <is>
          <t>CE6.b</t>
        </is>
      </c>
      <c r="AH5" s="11" t="inlineStr">
        <is>
          <t>CE6.c</t>
        </is>
      </c>
      <c r="AI5" s="11" t="inlineStr">
        <is>
          <t>CE6.d</t>
        </is>
      </c>
      <c r="AJ5" s="11" t="inlineStr">
        <is>
          <t>CE6.e</t>
        </is>
      </c>
      <c r="AK5" s="35" t="inlineStr">
        <is>
          <t>Media CEs
Superados</t>
        </is>
      </c>
      <c r="AL5" s="35" t="inlineStr">
        <is>
          <t>Nº CEs &gt;= 5
(de 34)</t>
        </is>
      </c>
    </row>
    <row r="6" ht="20" customHeight="1">
      <c r="A6" s="15" t="n">
        <v>1</v>
      </c>
      <c r="B6" s="37" t="inlineStr">
        <is>
          <t>Álvarez Gómez, Laura</t>
        </is>
      </c>
      <c r="C6" s="38">
        <f>IF(SUMPRODUCT(('Matriz Criterios'!$H$6:$S$6="X")*ISNUMBER('Registro Notas'!$D6:$O6))=0, "-", SUMPRODUCT(('Matriz Criterios'!$H$6:$S$6="X")*ISNUMBER('Registro Notas'!$D6:$O6)*'Registro Notas'!$D6:$O6)/SUMPRODUCT(('Matriz Criterios'!$H$6:$S$6="X")*ISNUMBER('Registro Notas'!$D6:$O6)))</f>
        <v/>
      </c>
      <c r="D6" s="38">
        <f>IF(SUMPRODUCT(('Matriz Criterios'!$H$7:$S$7="X")*ISNUMBER('Registro Notas'!$D6:$O6))=0, "-", SUMPRODUCT(('Matriz Criterios'!$H$7:$S$7="X")*ISNUMBER('Registro Notas'!$D6:$O6)*'Registro Notas'!$D6:$O6)/SUMPRODUCT(('Matriz Criterios'!$H$7:$S$7="X")*ISNUMBER('Registro Notas'!$D6:$O6)))</f>
        <v/>
      </c>
      <c r="E6" s="38">
        <f>IF(SUMPRODUCT(('Matriz Criterios'!$H$8:$S$8="X")*ISNUMBER('Registro Notas'!$D6:$O6))=0, "-", SUMPRODUCT(('Matriz Criterios'!$H$8:$S$8="X")*ISNUMBER('Registro Notas'!$D6:$O6)*'Registro Notas'!$D6:$O6)/SUMPRODUCT(('Matriz Criterios'!$H$8:$S$8="X")*ISNUMBER('Registro Notas'!$D6:$O6)))</f>
        <v/>
      </c>
      <c r="F6" s="38">
        <f>IF(SUMPRODUCT(('Matriz Criterios'!$H$9:$S$9="X")*ISNUMBER('Registro Notas'!$D6:$O6))=0, "-", SUMPRODUCT(('Matriz Criterios'!$H$9:$S$9="X")*ISNUMBER('Registro Notas'!$D6:$O6)*'Registro Notas'!$D6:$O6)/SUMPRODUCT(('Matriz Criterios'!$H$9:$S$9="X")*ISNUMBER('Registro Notas'!$D6:$O6)))</f>
        <v/>
      </c>
      <c r="G6" s="38">
        <f>IF(SUMPRODUCT(('Matriz Criterios'!$H$10:$S$10="X")*ISNUMBER('Registro Notas'!$D6:$O6))=0, "-", SUMPRODUCT(('Matriz Criterios'!$H$10:$S$10="X")*ISNUMBER('Registro Notas'!$D6:$O6)*'Registro Notas'!$D6:$O6)/SUMPRODUCT(('Matriz Criterios'!$H$10:$S$10="X")*ISNUMBER('Registro Notas'!$D6:$O6)))</f>
        <v/>
      </c>
      <c r="H6" s="38">
        <f>IF(SUMPRODUCT(('Matriz Criterios'!$H$11:$S$11="X")*ISNUMBER('Registro Notas'!$D6:$O6))=0, "-", SUMPRODUCT(('Matriz Criterios'!$H$11:$S$11="X")*ISNUMBER('Registro Notas'!$D6:$O6)*'Registro Notas'!$D6:$O6)/SUMPRODUCT(('Matriz Criterios'!$H$11:$S$11="X")*ISNUMBER('Registro Notas'!$D6:$O6)))</f>
        <v/>
      </c>
      <c r="I6" s="38">
        <f>IF(SUMPRODUCT(('Matriz Criterios'!$H$12:$S$12="X")*ISNUMBER('Registro Notas'!$D6:$O6))=0, "-", SUMPRODUCT(('Matriz Criterios'!$H$12:$S$12="X")*ISNUMBER('Registro Notas'!$D6:$O6)*'Registro Notas'!$D6:$O6)/SUMPRODUCT(('Matriz Criterios'!$H$12:$S$12="X")*ISNUMBER('Registro Notas'!$D6:$O6)))</f>
        <v/>
      </c>
      <c r="J6" s="38">
        <f>IF(SUMPRODUCT(('Matriz Criterios'!$H$13:$S$13="X")*ISNUMBER('Registro Notas'!$D6:$O6))=0, "-", SUMPRODUCT(('Matriz Criterios'!$H$13:$S$13="X")*ISNUMBER('Registro Notas'!$D6:$O6)*'Registro Notas'!$D6:$O6)/SUMPRODUCT(('Matriz Criterios'!$H$13:$S$13="X")*ISNUMBER('Registro Notas'!$D6:$O6)))</f>
        <v/>
      </c>
      <c r="K6" s="38">
        <f>IF(SUMPRODUCT(('Matriz Criterios'!$H$14:$S$14="X")*ISNUMBER('Registro Notas'!$D6:$O6))=0, "-", SUMPRODUCT(('Matriz Criterios'!$H$14:$S$14="X")*ISNUMBER('Registro Notas'!$D6:$O6)*'Registro Notas'!$D6:$O6)/SUMPRODUCT(('Matriz Criterios'!$H$14:$S$14="X")*ISNUMBER('Registro Notas'!$D6:$O6)))</f>
        <v/>
      </c>
      <c r="L6" s="38">
        <f>IF(SUMPRODUCT(('Matriz Criterios'!$H$15:$S$15="X")*ISNUMBER('Registro Notas'!$D6:$O6))=0, "-", SUMPRODUCT(('Matriz Criterios'!$H$15:$S$15="X")*ISNUMBER('Registro Notas'!$D6:$O6)*'Registro Notas'!$D6:$O6)/SUMPRODUCT(('Matriz Criterios'!$H$15:$S$15="X")*ISNUMBER('Registro Notas'!$D6:$O6)))</f>
        <v/>
      </c>
      <c r="M6" s="38">
        <f>IF(SUMPRODUCT(('Matriz Criterios'!$H$16:$S$16="X")*ISNUMBER('Registro Notas'!$D6:$O6))=0, "-", SUMPRODUCT(('Matriz Criterios'!$H$16:$S$16="X")*ISNUMBER('Registro Notas'!$D6:$O6)*'Registro Notas'!$D6:$O6)/SUMPRODUCT(('Matriz Criterios'!$H$16:$S$16="X")*ISNUMBER('Registro Notas'!$D6:$O6)))</f>
        <v/>
      </c>
      <c r="N6" s="38">
        <f>IF(SUMPRODUCT(('Matriz Criterios'!$H$17:$S$17="X")*ISNUMBER('Registro Notas'!$D6:$O6))=0, "-", SUMPRODUCT(('Matriz Criterios'!$H$17:$S$17="X")*ISNUMBER('Registro Notas'!$D6:$O6)*'Registro Notas'!$D6:$O6)/SUMPRODUCT(('Matriz Criterios'!$H$17:$S$17="X")*ISNUMBER('Registro Notas'!$D6:$O6)))</f>
        <v/>
      </c>
      <c r="O6" s="38">
        <f>IF(SUMPRODUCT(('Matriz Criterios'!$H$18:$S$18="X")*ISNUMBER('Registro Notas'!$D6:$O6))=0, "-", SUMPRODUCT(('Matriz Criterios'!$H$18:$S$18="X")*ISNUMBER('Registro Notas'!$D6:$O6)*'Registro Notas'!$D6:$O6)/SUMPRODUCT(('Matriz Criterios'!$H$18:$S$18="X")*ISNUMBER('Registro Notas'!$D6:$O6)))</f>
        <v/>
      </c>
      <c r="P6" s="38">
        <f>IF(SUMPRODUCT(('Matriz Criterios'!$H$19:$S$19="X")*ISNUMBER('Registro Notas'!$D6:$O6))=0, "-", SUMPRODUCT(('Matriz Criterios'!$H$19:$S$19="X")*ISNUMBER('Registro Notas'!$D6:$O6)*'Registro Notas'!$D6:$O6)/SUMPRODUCT(('Matriz Criterios'!$H$19:$S$19="X")*ISNUMBER('Registro Notas'!$D6:$O6)))</f>
        <v/>
      </c>
      <c r="Q6" s="38">
        <f>IF(SUMPRODUCT(('Matriz Criterios'!$H$20:$S$20="X")*ISNUMBER('Registro Notas'!$D6:$O6))=0, "-", SUMPRODUCT(('Matriz Criterios'!$H$20:$S$20="X")*ISNUMBER('Registro Notas'!$D6:$O6)*'Registro Notas'!$D6:$O6)/SUMPRODUCT(('Matriz Criterios'!$H$20:$S$20="X")*ISNUMBER('Registro Notas'!$D6:$O6)))</f>
        <v/>
      </c>
      <c r="R6" s="38">
        <f>IF(SUMPRODUCT(('Matriz Criterios'!$H$21:$S$21="X")*ISNUMBER('Registro Notas'!$D6:$O6))=0, "-", SUMPRODUCT(('Matriz Criterios'!$H$21:$S$21="X")*ISNUMBER('Registro Notas'!$D6:$O6)*'Registro Notas'!$D6:$O6)/SUMPRODUCT(('Matriz Criterios'!$H$21:$S$21="X")*ISNUMBER('Registro Notas'!$D6:$O6)))</f>
        <v/>
      </c>
      <c r="S6" s="38">
        <f>IF(SUMPRODUCT(('Matriz Criterios'!$H$22:$S$22="X")*ISNUMBER('Registro Notas'!$D6:$O6))=0, "-", SUMPRODUCT(('Matriz Criterios'!$H$22:$S$22="X")*ISNUMBER('Registro Notas'!$D6:$O6)*'Registro Notas'!$D6:$O6)/SUMPRODUCT(('Matriz Criterios'!$H$22:$S$22="X")*ISNUMBER('Registro Notas'!$D6:$O6)))</f>
        <v/>
      </c>
      <c r="T6" s="38">
        <f>IF(SUMPRODUCT(('Matriz Criterios'!$H$23:$S$23="X")*ISNUMBER('Registro Notas'!$D6:$O6))=0, "-", SUMPRODUCT(('Matriz Criterios'!$H$23:$S$23="X")*ISNUMBER('Registro Notas'!$D6:$O6)*'Registro Notas'!$D6:$O6)/SUMPRODUCT(('Matriz Criterios'!$H$23:$S$23="X")*ISNUMBER('Registro Notas'!$D6:$O6)))</f>
        <v/>
      </c>
      <c r="U6" s="38">
        <f>IF(SUMPRODUCT(('Matriz Criterios'!$H$24:$S$24="X")*ISNUMBER('Registro Notas'!$D6:$O6))=0, "-", SUMPRODUCT(('Matriz Criterios'!$H$24:$S$24="X")*ISNUMBER('Registro Notas'!$D6:$O6)*'Registro Notas'!$D6:$O6)/SUMPRODUCT(('Matriz Criterios'!$H$24:$S$24="X")*ISNUMBER('Registro Notas'!$D6:$O6)))</f>
        <v/>
      </c>
      <c r="V6" s="38">
        <f>IF(SUMPRODUCT(('Matriz Criterios'!$H$25:$S$25="X")*ISNUMBER('Registro Notas'!$D6:$O6))=0, "-", SUMPRODUCT(('Matriz Criterios'!$H$25:$S$25="X")*ISNUMBER('Registro Notas'!$D6:$O6)*'Registro Notas'!$D6:$O6)/SUMPRODUCT(('Matriz Criterios'!$H$25:$S$25="X")*ISNUMBER('Registro Notas'!$D6:$O6)))</f>
        <v/>
      </c>
      <c r="W6" s="38">
        <f>IF(SUMPRODUCT(('Matriz Criterios'!$H$26:$S$26="X")*ISNUMBER('Registro Notas'!$D6:$O6))=0, "-", SUMPRODUCT(('Matriz Criterios'!$H$26:$S$26="X")*ISNUMBER('Registro Notas'!$D6:$O6)*'Registro Notas'!$D6:$O6)/SUMPRODUCT(('Matriz Criterios'!$H$26:$S$26="X")*ISNUMBER('Registro Notas'!$D6:$O6)))</f>
        <v/>
      </c>
      <c r="X6" s="38">
        <f>IF(SUMPRODUCT(('Matriz Criterios'!$H$27:$S$27="X")*ISNUMBER('Registro Notas'!$D6:$O6))=0, "-", SUMPRODUCT(('Matriz Criterios'!$H$27:$S$27="X")*ISNUMBER('Registro Notas'!$D6:$O6)*'Registro Notas'!$D6:$O6)/SUMPRODUCT(('Matriz Criterios'!$H$27:$S$27="X")*ISNUMBER('Registro Notas'!$D6:$O6)))</f>
        <v/>
      </c>
      <c r="Y6" s="38">
        <f>IF(SUMPRODUCT(('Matriz Criterios'!$H$28:$S$28="X")*ISNUMBER('Registro Notas'!$D6:$O6))=0, "-", SUMPRODUCT(('Matriz Criterios'!$H$28:$S$28="X")*ISNUMBER('Registro Notas'!$D6:$O6)*'Registro Notas'!$D6:$O6)/SUMPRODUCT(('Matriz Criterios'!$H$28:$S$28="X")*ISNUMBER('Registro Notas'!$D6:$O6)))</f>
        <v/>
      </c>
      <c r="Z6" s="38">
        <f>IF(SUMPRODUCT(('Matriz Criterios'!$H$29:$S$29="X")*ISNUMBER('Registro Notas'!$D6:$O6))=0, "-", SUMPRODUCT(('Matriz Criterios'!$H$29:$S$29="X")*ISNUMBER('Registro Notas'!$D6:$O6)*'Registro Notas'!$D6:$O6)/SUMPRODUCT(('Matriz Criterios'!$H$29:$S$29="X")*ISNUMBER('Registro Notas'!$D6:$O6)))</f>
        <v/>
      </c>
      <c r="AA6" s="38">
        <f>IF(SUMPRODUCT(('Matriz Criterios'!$H$30:$S$30="X")*ISNUMBER('Registro Notas'!$D6:$O6))=0, "-", SUMPRODUCT(('Matriz Criterios'!$H$30:$S$30="X")*ISNUMBER('Registro Notas'!$D6:$O6)*'Registro Notas'!$D6:$O6)/SUMPRODUCT(('Matriz Criterios'!$H$30:$S$30="X")*ISNUMBER('Registro Notas'!$D6:$O6)))</f>
        <v/>
      </c>
      <c r="AB6" s="38">
        <f>IF(SUMPRODUCT(('Matriz Criterios'!$H$31:$S$31="X")*ISNUMBER('Registro Notas'!$D6:$O6))=0, "-", SUMPRODUCT(('Matriz Criterios'!$H$31:$S$31="X")*ISNUMBER('Registro Notas'!$D6:$O6)*'Registro Notas'!$D6:$O6)/SUMPRODUCT(('Matriz Criterios'!$H$31:$S$31="X")*ISNUMBER('Registro Notas'!$D6:$O6)))</f>
        <v/>
      </c>
      <c r="AC6" s="38">
        <f>IF(SUMPRODUCT(('Matriz Criterios'!$H$32:$S$32="X")*ISNUMBER('Registro Notas'!$D6:$O6))=0, "-", SUMPRODUCT(('Matriz Criterios'!$H$32:$S$32="X")*ISNUMBER('Registro Notas'!$D6:$O6)*'Registro Notas'!$D6:$O6)/SUMPRODUCT(('Matriz Criterios'!$H$32:$S$32="X")*ISNUMBER('Registro Notas'!$D6:$O6)))</f>
        <v/>
      </c>
      <c r="AD6" s="38">
        <f>IF(SUMPRODUCT(('Matriz Criterios'!$H$33:$S$33="X")*ISNUMBER('Registro Notas'!$D6:$O6))=0, "-", SUMPRODUCT(('Matriz Criterios'!$H$33:$S$33="X")*ISNUMBER('Registro Notas'!$D6:$O6)*'Registro Notas'!$D6:$O6)/SUMPRODUCT(('Matriz Criterios'!$H$33:$S$33="X")*ISNUMBER('Registro Notas'!$D6:$O6)))</f>
        <v/>
      </c>
      <c r="AE6" s="38">
        <f>IF(SUMPRODUCT(('Matriz Criterios'!$H$34:$S$34="X")*ISNUMBER('Registro Notas'!$D6:$O6))=0, "-", SUMPRODUCT(('Matriz Criterios'!$H$34:$S$34="X")*ISNUMBER('Registro Notas'!$D6:$O6)*'Registro Notas'!$D6:$O6)/SUMPRODUCT(('Matriz Criterios'!$H$34:$S$34="X")*ISNUMBER('Registro Notas'!$D6:$O6)))</f>
        <v/>
      </c>
      <c r="AF6" s="38">
        <f>IF(SUMPRODUCT(('Matriz Criterios'!$H$35:$S$35="X")*ISNUMBER('Registro Notas'!$D6:$O6))=0, "-", SUMPRODUCT(('Matriz Criterios'!$H$35:$S$35="X")*ISNUMBER('Registro Notas'!$D6:$O6)*'Registro Notas'!$D6:$O6)/SUMPRODUCT(('Matriz Criterios'!$H$35:$S$35="X")*ISNUMBER('Registro Notas'!$D6:$O6)))</f>
        <v/>
      </c>
      <c r="AG6" s="38">
        <f>IF(SUMPRODUCT(('Matriz Criterios'!$H$36:$S$36="X")*ISNUMBER('Registro Notas'!$D6:$O6))=0, "-", SUMPRODUCT(('Matriz Criterios'!$H$36:$S$36="X")*ISNUMBER('Registro Notas'!$D6:$O6)*'Registro Notas'!$D6:$O6)/SUMPRODUCT(('Matriz Criterios'!$H$36:$S$36="X")*ISNUMBER('Registro Notas'!$D6:$O6)))</f>
        <v/>
      </c>
      <c r="AH6" s="38">
        <f>IF(SUMPRODUCT(('Matriz Criterios'!$H$37:$S$37="X")*ISNUMBER('Registro Notas'!$D6:$O6))=0, "-", SUMPRODUCT(('Matriz Criterios'!$H$37:$S$37="X")*ISNUMBER('Registro Notas'!$D6:$O6)*'Registro Notas'!$D6:$O6)/SUMPRODUCT(('Matriz Criterios'!$H$37:$S$37="X")*ISNUMBER('Registro Notas'!$D6:$O6)))</f>
        <v/>
      </c>
      <c r="AI6" s="38">
        <f>IF(SUMPRODUCT(('Matriz Criterios'!$H$38:$S$38="X")*ISNUMBER('Registro Notas'!$D6:$O6))=0, "-", SUMPRODUCT(('Matriz Criterios'!$H$38:$S$38="X")*ISNUMBER('Registro Notas'!$D6:$O6)*'Registro Notas'!$D6:$O6)/SUMPRODUCT(('Matriz Criterios'!$H$38:$S$38="X")*ISNUMBER('Registro Notas'!$D6:$O6)))</f>
        <v/>
      </c>
      <c r="AJ6" s="38">
        <f>IF(SUMPRODUCT(('Matriz Criterios'!$H$39:$S$39="X")*ISNUMBER('Registro Notas'!$D6:$O6))=0, "-", SUMPRODUCT(('Matriz Criterios'!$H$39:$S$39="X")*ISNUMBER('Registro Notas'!$D6:$O6)*'Registro Notas'!$D6:$O6)/SUMPRODUCT(('Matriz Criterios'!$H$39:$S$39="X")*ISNUMBER('Registro Notas'!$D6:$O6)))</f>
        <v/>
      </c>
      <c r="AK6" s="42">
        <f>AVERAGE(C6:AJ6)</f>
        <v/>
      </c>
      <c r="AL6" s="53">
        <f>COUNTIF(C6:AJ6, "&gt;=5")</f>
        <v/>
      </c>
    </row>
    <row r="7" ht="20" customHeight="1">
      <c r="A7" s="22" t="n">
        <v>2</v>
      </c>
      <c r="B7" s="43" t="inlineStr">
        <is>
          <t>Benítez Romero, Carlos</t>
        </is>
      </c>
      <c r="C7" s="44">
        <f>IF(SUMPRODUCT(('Matriz Criterios'!$H$6:$S$6="X")*ISNUMBER('Registro Notas'!$D7:$O7))=0, "-", SUMPRODUCT(('Matriz Criterios'!$H$6:$S$6="X")*ISNUMBER('Registro Notas'!$D7:$O7)*'Registro Notas'!$D7:$O7)/SUMPRODUCT(('Matriz Criterios'!$H$6:$S$6="X")*ISNUMBER('Registro Notas'!$D7:$O7)))</f>
        <v/>
      </c>
      <c r="D7" s="44">
        <f>IF(SUMPRODUCT(('Matriz Criterios'!$H$7:$S$7="X")*ISNUMBER('Registro Notas'!$D7:$O7))=0, "-", SUMPRODUCT(('Matriz Criterios'!$H$7:$S$7="X")*ISNUMBER('Registro Notas'!$D7:$O7)*'Registro Notas'!$D7:$O7)/SUMPRODUCT(('Matriz Criterios'!$H$7:$S$7="X")*ISNUMBER('Registro Notas'!$D7:$O7)))</f>
        <v/>
      </c>
      <c r="E7" s="44">
        <f>IF(SUMPRODUCT(('Matriz Criterios'!$H$8:$S$8="X")*ISNUMBER('Registro Notas'!$D7:$O7))=0, "-", SUMPRODUCT(('Matriz Criterios'!$H$8:$S$8="X")*ISNUMBER('Registro Notas'!$D7:$O7)*'Registro Notas'!$D7:$O7)/SUMPRODUCT(('Matriz Criterios'!$H$8:$S$8="X")*ISNUMBER('Registro Notas'!$D7:$O7)))</f>
        <v/>
      </c>
      <c r="F7" s="44">
        <f>IF(SUMPRODUCT(('Matriz Criterios'!$H$9:$S$9="X")*ISNUMBER('Registro Notas'!$D7:$O7))=0, "-", SUMPRODUCT(('Matriz Criterios'!$H$9:$S$9="X")*ISNUMBER('Registro Notas'!$D7:$O7)*'Registro Notas'!$D7:$O7)/SUMPRODUCT(('Matriz Criterios'!$H$9:$S$9="X")*ISNUMBER('Registro Notas'!$D7:$O7)))</f>
        <v/>
      </c>
      <c r="G7" s="44">
        <f>IF(SUMPRODUCT(('Matriz Criterios'!$H$10:$S$10="X")*ISNUMBER('Registro Notas'!$D7:$O7))=0, "-", SUMPRODUCT(('Matriz Criterios'!$H$10:$S$10="X")*ISNUMBER('Registro Notas'!$D7:$O7)*'Registro Notas'!$D7:$O7)/SUMPRODUCT(('Matriz Criterios'!$H$10:$S$10="X")*ISNUMBER('Registro Notas'!$D7:$O7)))</f>
        <v/>
      </c>
      <c r="H7" s="44">
        <f>IF(SUMPRODUCT(('Matriz Criterios'!$H$11:$S$11="X")*ISNUMBER('Registro Notas'!$D7:$O7))=0, "-", SUMPRODUCT(('Matriz Criterios'!$H$11:$S$11="X")*ISNUMBER('Registro Notas'!$D7:$O7)*'Registro Notas'!$D7:$O7)/SUMPRODUCT(('Matriz Criterios'!$H$11:$S$11="X")*ISNUMBER('Registro Notas'!$D7:$O7)))</f>
        <v/>
      </c>
      <c r="I7" s="44">
        <f>IF(SUMPRODUCT(('Matriz Criterios'!$H$12:$S$12="X")*ISNUMBER('Registro Notas'!$D7:$O7))=0, "-", SUMPRODUCT(('Matriz Criterios'!$H$12:$S$12="X")*ISNUMBER('Registro Notas'!$D7:$O7)*'Registro Notas'!$D7:$O7)/SUMPRODUCT(('Matriz Criterios'!$H$12:$S$12="X")*ISNUMBER('Registro Notas'!$D7:$O7)))</f>
        <v/>
      </c>
      <c r="J7" s="44">
        <f>IF(SUMPRODUCT(('Matriz Criterios'!$H$13:$S$13="X")*ISNUMBER('Registro Notas'!$D7:$O7))=0, "-", SUMPRODUCT(('Matriz Criterios'!$H$13:$S$13="X")*ISNUMBER('Registro Notas'!$D7:$O7)*'Registro Notas'!$D7:$O7)/SUMPRODUCT(('Matriz Criterios'!$H$13:$S$13="X")*ISNUMBER('Registro Notas'!$D7:$O7)))</f>
        <v/>
      </c>
      <c r="K7" s="44">
        <f>IF(SUMPRODUCT(('Matriz Criterios'!$H$14:$S$14="X")*ISNUMBER('Registro Notas'!$D7:$O7))=0, "-", SUMPRODUCT(('Matriz Criterios'!$H$14:$S$14="X")*ISNUMBER('Registro Notas'!$D7:$O7)*'Registro Notas'!$D7:$O7)/SUMPRODUCT(('Matriz Criterios'!$H$14:$S$14="X")*ISNUMBER('Registro Notas'!$D7:$O7)))</f>
        <v/>
      </c>
      <c r="L7" s="44">
        <f>IF(SUMPRODUCT(('Matriz Criterios'!$H$15:$S$15="X")*ISNUMBER('Registro Notas'!$D7:$O7))=0, "-", SUMPRODUCT(('Matriz Criterios'!$H$15:$S$15="X")*ISNUMBER('Registro Notas'!$D7:$O7)*'Registro Notas'!$D7:$O7)/SUMPRODUCT(('Matriz Criterios'!$H$15:$S$15="X")*ISNUMBER('Registro Notas'!$D7:$O7)))</f>
        <v/>
      </c>
      <c r="M7" s="44">
        <f>IF(SUMPRODUCT(('Matriz Criterios'!$H$16:$S$16="X")*ISNUMBER('Registro Notas'!$D7:$O7))=0, "-", SUMPRODUCT(('Matriz Criterios'!$H$16:$S$16="X")*ISNUMBER('Registro Notas'!$D7:$O7)*'Registro Notas'!$D7:$O7)/SUMPRODUCT(('Matriz Criterios'!$H$16:$S$16="X")*ISNUMBER('Registro Notas'!$D7:$O7)))</f>
        <v/>
      </c>
      <c r="N7" s="44">
        <f>IF(SUMPRODUCT(('Matriz Criterios'!$H$17:$S$17="X")*ISNUMBER('Registro Notas'!$D7:$O7))=0, "-", SUMPRODUCT(('Matriz Criterios'!$H$17:$S$17="X")*ISNUMBER('Registro Notas'!$D7:$O7)*'Registro Notas'!$D7:$O7)/SUMPRODUCT(('Matriz Criterios'!$H$17:$S$17="X")*ISNUMBER('Registro Notas'!$D7:$O7)))</f>
        <v/>
      </c>
      <c r="O7" s="44">
        <f>IF(SUMPRODUCT(('Matriz Criterios'!$H$18:$S$18="X")*ISNUMBER('Registro Notas'!$D7:$O7))=0, "-", SUMPRODUCT(('Matriz Criterios'!$H$18:$S$18="X")*ISNUMBER('Registro Notas'!$D7:$O7)*'Registro Notas'!$D7:$O7)/SUMPRODUCT(('Matriz Criterios'!$H$18:$S$18="X")*ISNUMBER('Registro Notas'!$D7:$O7)))</f>
        <v/>
      </c>
      <c r="P7" s="44">
        <f>IF(SUMPRODUCT(('Matriz Criterios'!$H$19:$S$19="X")*ISNUMBER('Registro Notas'!$D7:$O7))=0, "-", SUMPRODUCT(('Matriz Criterios'!$H$19:$S$19="X")*ISNUMBER('Registro Notas'!$D7:$O7)*'Registro Notas'!$D7:$O7)/SUMPRODUCT(('Matriz Criterios'!$H$19:$S$19="X")*ISNUMBER('Registro Notas'!$D7:$O7)))</f>
        <v/>
      </c>
      <c r="Q7" s="44">
        <f>IF(SUMPRODUCT(('Matriz Criterios'!$H$20:$S$20="X")*ISNUMBER('Registro Notas'!$D7:$O7))=0, "-", SUMPRODUCT(('Matriz Criterios'!$H$20:$S$20="X")*ISNUMBER('Registro Notas'!$D7:$O7)*'Registro Notas'!$D7:$O7)/SUMPRODUCT(('Matriz Criterios'!$H$20:$S$20="X")*ISNUMBER('Registro Notas'!$D7:$O7)))</f>
        <v/>
      </c>
      <c r="R7" s="44">
        <f>IF(SUMPRODUCT(('Matriz Criterios'!$H$21:$S$21="X")*ISNUMBER('Registro Notas'!$D7:$O7))=0, "-", SUMPRODUCT(('Matriz Criterios'!$H$21:$S$21="X")*ISNUMBER('Registro Notas'!$D7:$O7)*'Registro Notas'!$D7:$O7)/SUMPRODUCT(('Matriz Criterios'!$H$21:$S$21="X")*ISNUMBER('Registro Notas'!$D7:$O7)))</f>
        <v/>
      </c>
      <c r="S7" s="44">
        <f>IF(SUMPRODUCT(('Matriz Criterios'!$H$22:$S$22="X")*ISNUMBER('Registro Notas'!$D7:$O7))=0, "-", SUMPRODUCT(('Matriz Criterios'!$H$22:$S$22="X")*ISNUMBER('Registro Notas'!$D7:$O7)*'Registro Notas'!$D7:$O7)/SUMPRODUCT(('Matriz Criterios'!$H$22:$S$22="X")*ISNUMBER('Registro Notas'!$D7:$O7)))</f>
        <v/>
      </c>
      <c r="T7" s="44">
        <f>IF(SUMPRODUCT(('Matriz Criterios'!$H$23:$S$23="X")*ISNUMBER('Registro Notas'!$D7:$O7))=0, "-", SUMPRODUCT(('Matriz Criterios'!$H$23:$S$23="X")*ISNUMBER('Registro Notas'!$D7:$O7)*'Registro Notas'!$D7:$O7)/SUMPRODUCT(('Matriz Criterios'!$H$23:$S$23="X")*ISNUMBER('Registro Notas'!$D7:$O7)))</f>
        <v/>
      </c>
      <c r="U7" s="44">
        <f>IF(SUMPRODUCT(('Matriz Criterios'!$H$24:$S$24="X")*ISNUMBER('Registro Notas'!$D7:$O7))=0, "-", SUMPRODUCT(('Matriz Criterios'!$H$24:$S$24="X")*ISNUMBER('Registro Notas'!$D7:$O7)*'Registro Notas'!$D7:$O7)/SUMPRODUCT(('Matriz Criterios'!$H$24:$S$24="X")*ISNUMBER('Registro Notas'!$D7:$O7)))</f>
        <v/>
      </c>
      <c r="V7" s="44">
        <f>IF(SUMPRODUCT(('Matriz Criterios'!$H$25:$S$25="X")*ISNUMBER('Registro Notas'!$D7:$O7))=0, "-", SUMPRODUCT(('Matriz Criterios'!$H$25:$S$25="X")*ISNUMBER('Registro Notas'!$D7:$O7)*'Registro Notas'!$D7:$O7)/SUMPRODUCT(('Matriz Criterios'!$H$25:$S$25="X")*ISNUMBER('Registro Notas'!$D7:$O7)))</f>
        <v/>
      </c>
      <c r="W7" s="44">
        <f>IF(SUMPRODUCT(('Matriz Criterios'!$H$26:$S$26="X")*ISNUMBER('Registro Notas'!$D7:$O7))=0, "-", SUMPRODUCT(('Matriz Criterios'!$H$26:$S$26="X")*ISNUMBER('Registro Notas'!$D7:$O7)*'Registro Notas'!$D7:$O7)/SUMPRODUCT(('Matriz Criterios'!$H$26:$S$26="X")*ISNUMBER('Registro Notas'!$D7:$O7)))</f>
        <v/>
      </c>
      <c r="X7" s="44">
        <f>IF(SUMPRODUCT(('Matriz Criterios'!$H$27:$S$27="X")*ISNUMBER('Registro Notas'!$D7:$O7))=0, "-", SUMPRODUCT(('Matriz Criterios'!$H$27:$S$27="X")*ISNUMBER('Registro Notas'!$D7:$O7)*'Registro Notas'!$D7:$O7)/SUMPRODUCT(('Matriz Criterios'!$H$27:$S$27="X")*ISNUMBER('Registro Notas'!$D7:$O7)))</f>
        <v/>
      </c>
      <c r="Y7" s="44">
        <f>IF(SUMPRODUCT(('Matriz Criterios'!$H$28:$S$28="X")*ISNUMBER('Registro Notas'!$D7:$O7))=0, "-", SUMPRODUCT(('Matriz Criterios'!$H$28:$S$28="X")*ISNUMBER('Registro Notas'!$D7:$O7)*'Registro Notas'!$D7:$O7)/SUMPRODUCT(('Matriz Criterios'!$H$28:$S$28="X")*ISNUMBER('Registro Notas'!$D7:$O7)))</f>
        <v/>
      </c>
      <c r="Z7" s="44">
        <f>IF(SUMPRODUCT(('Matriz Criterios'!$H$29:$S$29="X")*ISNUMBER('Registro Notas'!$D7:$O7))=0, "-", SUMPRODUCT(('Matriz Criterios'!$H$29:$S$29="X")*ISNUMBER('Registro Notas'!$D7:$O7)*'Registro Notas'!$D7:$O7)/SUMPRODUCT(('Matriz Criterios'!$H$29:$S$29="X")*ISNUMBER('Registro Notas'!$D7:$O7)))</f>
        <v/>
      </c>
      <c r="AA7" s="44">
        <f>IF(SUMPRODUCT(('Matriz Criterios'!$H$30:$S$30="X")*ISNUMBER('Registro Notas'!$D7:$O7))=0, "-", SUMPRODUCT(('Matriz Criterios'!$H$30:$S$30="X")*ISNUMBER('Registro Notas'!$D7:$O7)*'Registro Notas'!$D7:$O7)/SUMPRODUCT(('Matriz Criterios'!$H$30:$S$30="X")*ISNUMBER('Registro Notas'!$D7:$O7)))</f>
        <v/>
      </c>
      <c r="AB7" s="44">
        <f>IF(SUMPRODUCT(('Matriz Criterios'!$H$31:$S$31="X")*ISNUMBER('Registro Notas'!$D7:$O7))=0, "-", SUMPRODUCT(('Matriz Criterios'!$H$31:$S$31="X")*ISNUMBER('Registro Notas'!$D7:$O7)*'Registro Notas'!$D7:$O7)/SUMPRODUCT(('Matriz Criterios'!$H$31:$S$31="X")*ISNUMBER('Registro Notas'!$D7:$O7)))</f>
        <v/>
      </c>
      <c r="AC7" s="44">
        <f>IF(SUMPRODUCT(('Matriz Criterios'!$H$32:$S$32="X")*ISNUMBER('Registro Notas'!$D7:$O7))=0, "-", SUMPRODUCT(('Matriz Criterios'!$H$32:$S$32="X")*ISNUMBER('Registro Notas'!$D7:$O7)*'Registro Notas'!$D7:$O7)/SUMPRODUCT(('Matriz Criterios'!$H$32:$S$32="X")*ISNUMBER('Registro Notas'!$D7:$O7)))</f>
        <v/>
      </c>
      <c r="AD7" s="44">
        <f>IF(SUMPRODUCT(('Matriz Criterios'!$H$33:$S$33="X")*ISNUMBER('Registro Notas'!$D7:$O7))=0, "-", SUMPRODUCT(('Matriz Criterios'!$H$33:$S$33="X")*ISNUMBER('Registro Notas'!$D7:$O7)*'Registro Notas'!$D7:$O7)/SUMPRODUCT(('Matriz Criterios'!$H$33:$S$33="X")*ISNUMBER('Registro Notas'!$D7:$O7)))</f>
        <v/>
      </c>
      <c r="AE7" s="44">
        <f>IF(SUMPRODUCT(('Matriz Criterios'!$H$34:$S$34="X")*ISNUMBER('Registro Notas'!$D7:$O7))=0, "-", SUMPRODUCT(('Matriz Criterios'!$H$34:$S$34="X")*ISNUMBER('Registro Notas'!$D7:$O7)*'Registro Notas'!$D7:$O7)/SUMPRODUCT(('Matriz Criterios'!$H$34:$S$34="X")*ISNUMBER('Registro Notas'!$D7:$O7)))</f>
        <v/>
      </c>
      <c r="AF7" s="44">
        <f>IF(SUMPRODUCT(('Matriz Criterios'!$H$35:$S$35="X")*ISNUMBER('Registro Notas'!$D7:$O7))=0, "-", SUMPRODUCT(('Matriz Criterios'!$H$35:$S$35="X")*ISNUMBER('Registro Notas'!$D7:$O7)*'Registro Notas'!$D7:$O7)/SUMPRODUCT(('Matriz Criterios'!$H$35:$S$35="X")*ISNUMBER('Registro Notas'!$D7:$O7)))</f>
        <v/>
      </c>
      <c r="AG7" s="44">
        <f>IF(SUMPRODUCT(('Matriz Criterios'!$H$36:$S$36="X")*ISNUMBER('Registro Notas'!$D7:$O7))=0, "-", SUMPRODUCT(('Matriz Criterios'!$H$36:$S$36="X")*ISNUMBER('Registro Notas'!$D7:$O7)*'Registro Notas'!$D7:$O7)/SUMPRODUCT(('Matriz Criterios'!$H$36:$S$36="X")*ISNUMBER('Registro Notas'!$D7:$O7)))</f>
        <v/>
      </c>
      <c r="AH7" s="44">
        <f>IF(SUMPRODUCT(('Matriz Criterios'!$H$37:$S$37="X")*ISNUMBER('Registro Notas'!$D7:$O7))=0, "-", SUMPRODUCT(('Matriz Criterios'!$H$37:$S$37="X")*ISNUMBER('Registro Notas'!$D7:$O7)*'Registro Notas'!$D7:$O7)/SUMPRODUCT(('Matriz Criterios'!$H$37:$S$37="X")*ISNUMBER('Registro Notas'!$D7:$O7)))</f>
        <v/>
      </c>
      <c r="AI7" s="44">
        <f>IF(SUMPRODUCT(('Matriz Criterios'!$H$38:$S$38="X")*ISNUMBER('Registro Notas'!$D7:$O7))=0, "-", SUMPRODUCT(('Matriz Criterios'!$H$38:$S$38="X")*ISNUMBER('Registro Notas'!$D7:$O7)*'Registro Notas'!$D7:$O7)/SUMPRODUCT(('Matriz Criterios'!$H$38:$S$38="X")*ISNUMBER('Registro Notas'!$D7:$O7)))</f>
        <v/>
      </c>
      <c r="AJ7" s="44">
        <f>IF(SUMPRODUCT(('Matriz Criterios'!$H$39:$S$39="X")*ISNUMBER('Registro Notas'!$D7:$O7))=0, "-", SUMPRODUCT(('Matriz Criterios'!$H$39:$S$39="X")*ISNUMBER('Registro Notas'!$D7:$O7)*'Registro Notas'!$D7:$O7)/SUMPRODUCT(('Matriz Criterios'!$H$39:$S$39="X")*ISNUMBER('Registro Notas'!$D7:$O7)))</f>
        <v/>
      </c>
      <c r="AK7" s="42">
        <f>AVERAGE(C7:AJ7)</f>
        <v/>
      </c>
      <c r="AL7" s="53">
        <f>COUNTIF(C7:AJ7, "&gt;=5")</f>
        <v/>
      </c>
    </row>
    <row r="8" ht="20" customHeight="1">
      <c r="A8" s="15" t="n">
        <v>3</v>
      </c>
      <c r="B8" s="37" t="inlineStr">
        <is>
          <t>Castillo Morales, Elena</t>
        </is>
      </c>
      <c r="C8" s="38">
        <f>IF(SUMPRODUCT(('Matriz Criterios'!$H$6:$S$6="X")*ISNUMBER('Registro Notas'!$D8:$O8))=0, "-", SUMPRODUCT(('Matriz Criterios'!$H$6:$S$6="X")*ISNUMBER('Registro Notas'!$D8:$O8)*'Registro Notas'!$D8:$O8)/SUMPRODUCT(('Matriz Criterios'!$H$6:$S$6="X")*ISNUMBER('Registro Notas'!$D8:$O8)))</f>
        <v/>
      </c>
      <c r="D8" s="38">
        <f>IF(SUMPRODUCT(('Matriz Criterios'!$H$7:$S$7="X")*ISNUMBER('Registro Notas'!$D8:$O8))=0, "-", SUMPRODUCT(('Matriz Criterios'!$H$7:$S$7="X")*ISNUMBER('Registro Notas'!$D8:$O8)*'Registro Notas'!$D8:$O8)/SUMPRODUCT(('Matriz Criterios'!$H$7:$S$7="X")*ISNUMBER('Registro Notas'!$D8:$O8)))</f>
        <v/>
      </c>
      <c r="E8" s="38">
        <f>IF(SUMPRODUCT(('Matriz Criterios'!$H$8:$S$8="X")*ISNUMBER('Registro Notas'!$D8:$O8))=0, "-", SUMPRODUCT(('Matriz Criterios'!$H$8:$S$8="X")*ISNUMBER('Registro Notas'!$D8:$O8)*'Registro Notas'!$D8:$O8)/SUMPRODUCT(('Matriz Criterios'!$H$8:$S$8="X")*ISNUMBER('Registro Notas'!$D8:$O8)))</f>
        <v/>
      </c>
      <c r="F8" s="38">
        <f>IF(SUMPRODUCT(('Matriz Criterios'!$H$9:$S$9="X")*ISNUMBER('Registro Notas'!$D8:$O8))=0, "-", SUMPRODUCT(('Matriz Criterios'!$H$9:$S$9="X")*ISNUMBER('Registro Notas'!$D8:$O8)*'Registro Notas'!$D8:$O8)/SUMPRODUCT(('Matriz Criterios'!$H$9:$S$9="X")*ISNUMBER('Registro Notas'!$D8:$O8)))</f>
        <v/>
      </c>
      <c r="G8" s="38">
        <f>IF(SUMPRODUCT(('Matriz Criterios'!$H$10:$S$10="X")*ISNUMBER('Registro Notas'!$D8:$O8))=0, "-", SUMPRODUCT(('Matriz Criterios'!$H$10:$S$10="X")*ISNUMBER('Registro Notas'!$D8:$O8)*'Registro Notas'!$D8:$O8)/SUMPRODUCT(('Matriz Criterios'!$H$10:$S$10="X")*ISNUMBER('Registro Notas'!$D8:$O8)))</f>
        <v/>
      </c>
      <c r="H8" s="38">
        <f>IF(SUMPRODUCT(('Matriz Criterios'!$H$11:$S$11="X")*ISNUMBER('Registro Notas'!$D8:$O8))=0, "-", SUMPRODUCT(('Matriz Criterios'!$H$11:$S$11="X")*ISNUMBER('Registro Notas'!$D8:$O8)*'Registro Notas'!$D8:$O8)/SUMPRODUCT(('Matriz Criterios'!$H$11:$S$11="X")*ISNUMBER('Registro Notas'!$D8:$O8)))</f>
        <v/>
      </c>
      <c r="I8" s="38">
        <f>IF(SUMPRODUCT(('Matriz Criterios'!$H$12:$S$12="X")*ISNUMBER('Registro Notas'!$D8:$O8))=0, "-", SUMPRODUCT(('Matriz Criterios'!$H$12:$S$12="X")*ISNUMBER('Registro Notas'!$D8:$O8)*'Registro Notas'!$D8:$O8)/SUMPRODUCT(('Matriz Criterios'!$H$12:$S$12="X")*ISNUMBER('Registro Notas'!$D8:$O8)))</f>
        <v/>
      </c>
      <c r="J8" s="38">
        <f>IF(SUMPRODUCT(('Matriz Criterios'!$H$13:$S$13="X")*ISNUMBER('Registro Notas'!$D8:$O8))=0, "-", SUMPRODUCT(('Matriz Criterios'!$H$13:$S$13="X")*ISNUMBER('Registro Notas'!$D8:$O8)*'Registro Notas'!$D8:$O8)/SUMPRODUCT(('Matriz Criterios'!$H$13:$S$13="X")*ISNUMBER('Registro Notas'!$D8:$O8)))</f>
        <v/>
      </c>
      <c r="K8" s="38">
        <f>IF(SUMPRODUCT(('Matriz Criterios'!$H$14:$S$14="X")*ISNUMBER('Registro Notas'!$D8:$O8))=0, "-", SUMPRODUCT(('Matriz Criterios'!$H$14:$S$14="X")*ISNUMBER('Registro Notas'!$D8:$O8)*'Registro Notas'!$D8:$O8)/SUMPRODUCT(('Matriz Criterios'!$H$14:$S$14="X")*ISNUMBER('Registro Notas'!$D8:$O8)))</f>
        <v/>
      </c>
      <c r="L8" s="38">
        <f>IF(SUMPRODUCT(('Matriz Criterios'!$H$15:$S$15="X")*ISNUMBER('Registro Notas'!$D8:$O8))=0, "-", SUMPRODUCT(('Matriz Criterios'!$H$15:$S$15="X")*ISNUMBER('Registro Notas'!$D8:$O8)*'Registro Notas'!$D8:$O8)/SUMPRODUCT(('Matriz Criterios'!$H$15:$S$15="X")*ISNUMBER('Registro Notas'!$D8:$O8)))</f>
        <v/>
      </c>
      <c r="M8" s="38">
        <f>IF(SUMPRODUCT(('Matriz Criterios'!$H$16:$S$16="X")*ISNUMBER('Registro Notas'!$D8:$O8))=0, "-", SUMPRODUCT(('Matriz Criterios'!$H$16:$S$16="X")*ISNUMBER('Registro Notas'!$D8:$O8)*'Registro Notas'!$D8:$O8)/SUMPRODUCT(('Matriz Criterios'!$H$16:$S$16="X")*ISNUMBER('Registro Notas'!$D8:$O8)))</f>
        <v/>
      </c>
      <c r="N8" s="38">
        <f>IF(SUMPRODUCT(('Matriz Criterios'!$H$17:$S$17="X")*ISNUMBER('Registro Notas'!$D8:$O8))=0, "-", SUMPRODUCT(('Matriz Criterios'!$H$17:$S$17="X")*ISNUMBER('Registro Notas'!$D8:$O8)*'Registro Notas'!$D8:$O8)/SUMPRODUCT(('Matriz Criterios'!$H$17:$S$17="X")*ISNUMBER('Registro Notas'!$D8:$O8)))</f>
        <v/>
      </c>
      <c r="O8" s="38">
        <f>IF(SUMPRODUCT(('Matriz Criterios'!$H$18:$S$18="X")*ISNUMBER('Registro Notas'!$D8:$O8))=0, "-", SUMPRODUCT(('Matriz Criterios'!$H$18:$S$18="X")*ISNUMBER('Registro Notas'!$D8:$O8)*'Registro Notas'!$D8:$O8)/SUMPRODUCT(('Matriz Criterios'!$H$18:$S$18="X")*ISNUMBER('Registro Notas'!$D8:$O8)))</f>
        <v/>
      </c>
      <c r="P8" s="38">
        <f>IF(SUMPRODUCT(('Matriz Criterios'!$H$19:$S$19="X")*ISNUMBER('Registro Notas'!$D8:$O8))=0, "-", SUMPRODUCT(('Matriz Criterios'!$H$19:$S$19="X")*ISNUMBER('Registro Notas'!$D8:$O8)*'Registro Notas'!$D8:$O8)/SUMPRODUCT(('Matriz Criterios'!$H$19:$S$19="X")*ISNUMBER('Registro Notas'!$D8:$O8)))</f>
        <v/>
      </c>
      <c r="Q8" s="38">
        <f>IF(SUMPRODUCT(('Matriz Criterios'!$H$20:$S$20="X")*ISNUMBER('Registro Notas'!$D8:$O8))=0, "-", SUMPRODUCT(('Matriz Criterios'!$H$20:$S$20="X")*ISNUMBER('Registro Notas'!$D8:$O8)*'Registro Notas'!$D8:$O8)/SUMPRODUCT(('Matriz Criterios'!$H$20:$S$20="X")*ISNUMBER('Registro Notas'!$D8:$O8)))</f>
        <v/>
      </c>
      <c r="R8" s="38">
        <f>IF(SUMPRODUCT(('Matriz Criterios'!$H$21:$S$21="X")*ISNUMBER('Registro Notas'!$D8:$O8))=0, "-", SUMPRODUCT(('Matriz Criterios'!$H$21:$S$21="X")*ISNUMBER('Registro Notas'!$D8:$O8)*'Registro Notas'!$D8:$O8)/SUMPRODUCT(('Matriz Criterios'!$H$21:$S$21="X")*ISNUMBER('Registro Notas'!$D8:$O8)))</f>
        <v/>
      </c>
      <c r="S8" s="38">
        <f>IF(SUMPRODUCT(('Matriz Criterios'!$H$22:$S$22="X")*ISNUMBER('Registro Notas'!$D8:$O8))=0, "-", SUMPRODUCT(('Matriz Criterios'!$H$22:$S$22="X")*ISNUMBER('Registro Notas'!$D8:$O8)*'Registro Notas'!$D8:$O8)/SUMPRODUCT(('Matriz Criterios'!$H$22:$S$22="X")*ISNUMBER('Registro Notas'!$D8:$O8)))</f>
        <v/>
      </c>
      <c r="T8" s="38">
        <f>IF(SUMPRODUCT(('Matriz Criterios'!$H$23:$S$23="X")*ISNUMBER('Registro Notas'!$D8:$O8))=0, "-", SUMPRODUCT(('Matriz Criterios'!$H$23:$S$23="X")*ISNUMBER('Registro Notas'!$D8:$O8)*'Registro Notas'!$D8:$O8)/SUMPRODUCT(('Matriz Criterios'!$H$23:$S$23="X")*ISNUMBER('Registro Notas'!$D8:$O8)))</f>
        <v/>
      </c>
      <c r="U8" s="38">
        <f>IF(SUMPRODUCT(('Matriz Criterios'!$H$24:$S$24="X")*ISNUMBER('Registro Notas'!$D8:$O8))=0, "-", SUMPRODUCT(('Matriz Criterios'!$H$24:$S$24="X")*ISNUMBER('Registro Notas'!$D8:$O8)*'Registro Notas'!$D8:$O8)/SUMPRODUCT(('Matriz Criterios'!$H$24:$S$24="X")*ISNUMBER('Registro Notas'!$D8:$O8)))</f>
        <v/>
      </c>
      <c r="V8" s="38">
        <f>IF(SUMPRODUCT(('Matriz Criterios'!$H$25:$S$25="X")*ISNUMBER('Registro Notas'!$D8:$O8))=0, "-", SUMPRODUCT(('Matriz Criterios'!$H$25:$S$25="X")*ISNUMBER('Registro Notas'!$D8:$O8)*'Registro Notas'!$D8:$O8)/SUMPRODUCT(('Matriz Criterios'!$H$25:$S$25="X")*ISNUMBER('Registro Notas'!$D8:$O8)))</f>
        <v/>
      </c>
      <c r="W8" s="38">
        <f>IF(SUMPRODUCT(('Matriz Criterios'!$H$26:$S$26="X")*ISNUMBER('Registro Notas'!$D8:$O8))=0, "-", SUMPRODUCT(('Matriz Criterios'!$H$26:$S$26="X")*ISNUMBER('Registro Notas'!$D8:$O8)*'Registro Notas'!$D8:$O8)/SUMPRODUCT(('Matriz Criterios'!$H$26:$S$26="X")*ISNUMBER('Registro Notas'!$D8:$O8)))</f>
        <v/>
      </c>
      <c r="X8" s="38">
        <f>IF(SUMPRODUCT(('Matriz Criterios'!$H$27:$S$27="X")*ISNUMBER('Registro Notas'!$D8:$O8))=0, "-", SUMPRODUCT(('Matriz Criterios'!$H$27:$S$27="X")*ISNUMBER('Registro Notas'!$D8:$O8)*'Registro Notas'!$D8:$O8)/SUMPRODUCT(('Matriz Criterios'!$H$27:$S$27="X")*ISNUMBER('Registro Notas'!$D8:$O8)))</f>
        <v/>
      </c>
      <c r="Y8" s="38">
        <f>IF(SUMPRODUCT(('Matriz Criterios'!$H$28:$S$28="X")*ISNUMBER('Registro Notas'!$D8:$O8))=0, "-", SUMPRODUCT(('Matriz Criterios'!$H$28:$S$28="X")*ISNUMBER('Registro Notas'!$D8:$O8)*'Registro Notas'!$D8:$O8)/SUMPRODUCT(('Matriz Criterios'!$H$28:$S$28="X")*ISNUMBER('Registro Notas'!$D8:$O8)))</f>
        <v/>
      </c>
      <c r="Z8" s="38">
        <f>IF(SUMPRODUCT(('Matriz Criterios'!$H$29:$S$29="X")*ISNUMBER('Registro Notas'!$D8:$O8))=0, "-", SUMPRODUCT(('Matriz Criterios'!$H$29:$S$29="X")*ISNUMBER('Registro Notas'!$D8:$O8)*'Registro Notas'!$D8:$O8)/SUMPRODUCT(('Matriz Criterios'!$H$29:$S$29="X")*ISNUMBER('Registro Notas'!$D8:$O8)))</f>
        <v/>
      </c>
      <c r="AA8" s="38">
        <f>IF(SUMPRODUCT(('Matriz Criterios'!$H$30:$S$30="X")*ISNUMBER('Registro Notas'!$D8:$O8))=0, "-", SUMPRODUCT(('Matriz Criterios'!$H$30:$S$30="X")*ISNUMBER('Registro Notas'!$D8:$O8)*'Registro Notas'!$D8:$O8)/SUMPRODUCT(('Matriz Criterios'!$H$30:$S$30="X")*ISNUMBER('Registro Notas'!$D8:$O8)))</f>
        <v/>
      </c>
      <c r="AB8" s="38">
        <f>IF(SUMPRODUCT(('Matriz Criterios'!$H$31:$S$31="X")*ISNUMBER('Registro Notas'!$D8:$O8))=0, "-", SUMPRODUCT(('Matriz Criterios'!$H$31:$S$31="X")*ISNUMBER('Registro Notas'!$D8:$O8)*'Registro Notas'!$D8:$O8)/SUMPRODUCT(('Matriz Criterios'!$H$31:$S$31="X")*ISNUMBER('Registro Notas'!$D8:$O8)))</f>
        <v/>
      </c>
      <c r="AC8" s="38">
        <f>IF(SUMPRODUCT(('Matriz Criterios'!$H$32:$S$32="X")*ISNUMBER('Registro Notas'!$D8:$O8))=0, "-", SUMPRODUCT(('Matriz Criterios'!$H$32:$S$32="X")*ISNUMBER('Registro Notas'!$D8:$O8)*'Registro Notas'!$D8:$O8)/SUMPRODUCT(('Matriz Criterios'!$H$32:$S$32="X")*ISNUMBER('Registro Notas'!$D8:$O8)))</f>
        <v/>
      </c>
      <c r="AD8" s="38">
        <f>IF(SUMPRODUCT(('Matriz Criterios'!$H$33:$S$33="X")*ISNUMBER('Registro Notas'!$D8:$O8))=0, "-", SUMPRODUCT(('Matriz Criterios'!$H$33:$S$33="X")*ISNUMBER('Registro Notas'!$D8:$O8)*'Registro Notas'!$D8:$O8)/SUMPRODUCT(('Matriz Criterios'!$H$33:$S$33="X")*ISNUMBER('Registro Notas'!$D8:$O8)))</f>
        <v/>
      </c>
      <c r="AE8" s="38">
        <f>IF(SUMPRODUCT(('Matriz Criterios'!$H$34:$S$34="X")*ISNUMBER('Registro Notas'!$D8:$O8))=0, "-", SUMPRODUCT(('Matriz Criterios'!$H$34:$S$34="X")*ISNUMBER('Registro Notas'!$D8:$O8)*'Registro Notas'!$D8:$O8)/SUMPRODUCT(('Matriz Criterios'!$H$34:$S$34="X")*ISNUMBER('Registro Notas'!$D8:$O8)))</f>
        <v/>
      </c>
      <c r="AF8" s="38">
        <f>IF(SUMPRODUCT(('Matriz Criterios'!$H$35:$S$35="X")*ISNUMBER('Registro Notas'!$D8:$O8))=0, "-", SUMPRODUCT(('Matriz Criterios'!$H$35:$S$35="X")*ISNUMBER('Registro Notas'!$D8:$O8)*'Registro Notas'!$D8:$O8)/SUMPRODUCT(('Matriz Criterios'!$H$35:$S$35="X")*ISNUMBER('Registro Notas'!$D8:$O8)))</f>
        <v/>
      </c>
      <c r="AG8" s="38">
        <f>IF(SUMPRODUCT(('Matriz Criterios'!$H$36:$S$36="X")*ISNUMBER('Registro Notas'!$D8:$O8))=0, "-", SUMPRODUCT(('Matriz Criterios'!$H$36:$S$36="X")*ISNUMBER('Registro Notas'!$D8:$O8)*'Registro Notas'!$D8:$O8)/SUMPRODUCT(('Matriz Criterios'!$H$36:$S$36="X")*ISNUMBER('Registro Notas'!$D8:$O8)))</f>
        <v/>
      </c>
      <c r="AH8" s="38">
        <f>IF(SUMPRODUCT(('Matriz Criterios'!$H$37:$S$37="X")*ISNUMBER('Registro Notas'!$D8:$O8))=0, "-", SUMPRODUCT(('Matriz Criterios'!$H$37:$S$37="X")*ISNUMBER('Registro Notas'!$D8:$O8)*'Registro Notas'!$D8:$O8)/SUMPRODUCT(('Matriz Criterios'!$H$37:$S$37="X")*ISNUMBER('Registro Notas'!$D8:$O8)))</f>
        <v/>
      </c>
      <c r="AI8" s="38">
        <f>IF(SUMPRODUCT(('Matriz Criterios'!$H$38:$S$38="X")*ISNUMBER('Registro Notas'!$D8:$O8))=0, "-", SUMPRODUCT(('Matriz Criterios'!$H$38:$S$38="X")*ISNUMBER('Registro Notas'!$D8:$O8)*'Registro Notas'!$D8:$O8)/SUMPRODUCT(('Matriz Criterios'!$H$38:$S$38="X")*ISNUMBER('Registro Notas'!$D8:$O8)))</f>
        <v/>
      </c>
      <c r="AJ8" s="38">
        <f>IF(SUMPRODUCT(('Matriz Criterios'!$H$39:$S$39="X")*ISNUMBER('Registro Notas'!$D8:$O8))=0, "-", SUMPRODUCT(('Matriz Criterios'!$H$39:$S$39="X")*ISNUMBER('Registro Notas'!$D8:$O8)*'Registro Notas'!$D8:$O8)/SUMPRODUCT(('Matriz Criterios'!$H$39:$S$39="X")*ISNUMBER('Registro Notas'!$D8:$O8)))</f>
        <v/>
      </c>
      <c r="AK8" s="42">
        <f>AVERAGE(C8:AJ8)</f>
        <v/>
      </c>
      <c r="AL8" s="53">
        <f>COUNTIF(C8:AJ8, "&gt;=5")</f>
        <v/>
      </c>
    </row>
    <row r="9" ht="20" customHeight="1">
      <c r="A9" s="22" t="n">
        <v>4</v>
      </c>
      <c r="B9" s="43" t="inlineStr">
        <is>
          <t>Delgado Santos, Alejandro</t>
        </is>
      </c>
      <c r="C9" s="44">
        <f>IF(SUMPRODUCT(('Matriz Criterios'!$H$6:$S$6="X")*ISNUMBER('Registro Notas'!$D9:$O9))=0, "-", SUMPRODUCT(('Matriz Criterios'!$H$6:$S$6="X")*ISNUMBER('Registro Notas'!$D9:$O9)*'Registro Notas'!$D9:$O9)/SUMPRODUCT(('Matriz Criterios'!$H$6:$S$6="X")*ISNUMBER('Registro Notas'!$D9:$O9)))</f>
        <v/>
      </c>
      <c r="D9" s="44">
        <f>IF(SUMPRODUCT(('Matriz Criterios'!$H$7:$S$7="X")*ISNUMBER('Registro Notas'!$D9:$O9))=0, "-", SUMPRODUCT(('Matriz Criterios'!$H$7:$S$7="X")*ISNUMBER('Registro Notas'!$D9:$O9)*'Registro Notas'!$D9:$O9)/SUMPRODUCT(('Matriz Criterios'!$H$7:$S$7="X")*ISNUMBER('Registro Notas'!$D9:$O9)))</f>
        <v/>
      </c>
      <c r="E9" s="44">
        <f>IF(SUMPRODUCT(('Matriz Criterios'!$H$8:$S$8="X")*ISNUMBER('Registro Notas'!$D9:$O9))=0, "-", SUMPRODUCT(('Matriz Criterios'!$H$8:$S$8="X")*ISNUMBER('Registro Notas'!$D9:$O9)*'Registro Notas'!$D9:$O9)/SUMPRODUCT(('Matriz Criterios'!$H$8:$S$8="X")*ISNUMBER('Registro Notas'!$D9:$O9)))</f>
        <v/>
      </c>
      <c r="F9" s="44">
        <f>IF(SUMPRODUCT(('Matriz Criterios'!$H$9:$S$9="X")*ISNUMBER('Registro Notas'!$D9:$O9))=0, "-", SUMPRODUCT(('Matriz Criterios'!$H$9:$S$9="X")*ISNUMBER('Registro Notas'!$D9:$O9)*'Registro Notas'!$D9:$O9)/SUMPRODUCT(('Matriz Criterios'!$H$9:$S$9="X")*ISNUMBER('Registro Notas'!$D9:$O9)))</f>
        <v/>
      </c>
      <c r="G9" s="44">
        <f>IF(SUMPRODUCT(('Matriz Criterios'!$H$10:$S$10="X")*ISNUMBER('Registro Notas'!$D9:$O9))=0, "-", SUMPRODUCT(('Matriz Criterios'!$H$10:$S$10="X")*ISNUMBER('Registro Notas'!$D9:$O9)*'Registro Notas'!$D9:$O9)/SUMPRODUCT(('Matriz Criterios'!$H$10:$S$10="X")*ISNUMBER('Registro Notas'!$D9:$O9)))</f>
        <v/>
      </c>
      <c r="H9" s="44">
        <f>IF(SUMPRODUCT(('Matriz Criterios'!$H$11:$S$11="X")*ISNUMBER('Registro Notas'!$D9:$O9))=0, "-", SUMPRODUCT(('Matriz Criterios'!$H$11:$S$11="X")*ISNUMBER('Registro Notas'!$D9:$O9)*'Registro Notas'!$D9:$O9)/SUMPRODUCT(('Matriz Criterios'!$H$11:$S$11="X")*ISNUMBER('Registro Notas'!$D9:$O9)))</f>
        <v/>
      </c>
      <c r="I9" s="44">
        <f>IF(SUMPRODUCT(('Matriz Criterios'!$H$12:$S$12="X")*ISNUMBER('Registro Notas'!$D9:$O9))=0, "-", SUMPRODUCT(('Matriz Criterios'!$H$12:$S$12="X")*ISNUMBER('Registro Notas'!$D9:$O9)*'Registro Notas'!$D9:$O9)/SUMPRODUCT(('Matriz Criterios'!$H$12:$S$12="X")*ISNUMBER('Registro Notas'!$D9:$O9)))</f>
        <v/>
      </c>
      <c r="J9" s="44">
        <f>IF(SUMPRODUCT(('Matriz Criterios'!$H$13:$S$13="X")*ISNUMBER('Registro Notas'!$D9:$O9))=0, "-", SUMPRODUCT(('Matriz Criterios'!$H$13:$S$13="X")*ISNUMBER('Registro Notas'!$D9:$O9)*'Registro Notas'!$D9:$O9)/SUMPRODUCT(('Matriz Criterios'!$H$13:$S$13="X")*ISNUMBER('Registro Notas'!$D9:$O9)))</f>
        <v/>
      </c>
      <c r="K9" s="44">
        <f>IF(SUMPRODUCT(('Matriz Criterios'!$H$14:$S$14="X")*ISNUMBER('Registro Notas'!$D9:$O9))=0, "-", SUMPRODUCT(('Matriz Criterios'!$H$14:$S$14="X")*ISNUMBER('Registro Notas'!$D9:$O9)*'Registro Notas'!$D9:$O9)/SUMPRODUCT(('Matriz Criterios'!$H$14:$S$14="X")*ISNUMBER('Registro Notas'!$D9:$O9)))</f>
        <v/>
      </c>
      <c r="L9" s="44">
        <f>IF(SUMPRODUCT(('Matriz Criterios'!$H$15:$S$15="X")*ISNUMBER('Registro Notas'!$D9:$O9))=0, "-", SUMPRODUCT(('Matriz Criterios'!$H$15:$S$15="X")*ISNUMBER('Registro Notas'!$D9:$O9)*'Registro Notas'!$D9:$O9)/SUMPRODUCT(('Matriz Criterios'!$H$15:$S$15="X")*ISNUMBER('Registro Notas'!$D9:$O9)))</f>
        <v/>
      </c>
      <c r="M9" s="44">
        <f>IF(SUMPRODUCT(('Matriz Criterios'!$H$16:$S$16="X")*ISNUMBER('Registro Notas'!$D9:$O9))=0, "-", SUMPRODUCT(('Matriz Criterios'!$H$16:$S$16="X")*ISNUMBER('Registro Notas'!$D9:$O9)*'Registro Notas'!$D9:$O9)/SUMPRODUCT(('Matriz Criterios'!$H$16:$S$16="X")*ISNUMBER('Registro Notas'!$D9:$O9)))</f>
        <v/>
      </c>
      <c r="N9" s="44">
        <f>IF(SUMPRODUCT(('Matriz Criterios'!$H$17:$S$17="X")*ISNUMBER('Registro Notas'!$D9:$O9))=0, "-", SUMPRODUCT(('Matriz Criterios'!$H$17:$S$17="X")*ISNUMBER('Registro Notas'!$D9:$O9)*'Registro Notas'!$D9:$O9)/SUMPRODUCT(('Matriz Criterios'!$H$17:$S$17="X")*ISNUMBER('Registro Notas'!$D9:$O9)))</f>
        <v/>
      </c>
      <c r="O9" s="44">
        <f>IF(SUMPRODUCT(('Matriz Criterios'!$H$18:$S$18="X")*ISNUMBER('Registro Notas'!$D9:$O9))=0, "-", SUMPRODUCT(('Matriz Criterios'!$H$18:$S$18="X")*ISNUMBER('Registro Notas'!$D9:$O9)*'Registro Notas'!$D9:$O9)/SUMPRODUCT(('Matriz Criterios'!$H$18:$S$18="X")*ISNUMBER('Registro Notas'!$D9:$O9)))</f>
        <v/>
      </c>
      <c r="P9" s="44">
        <f>IF(SUMPRODUCT(('Matriz Criterios'!$H$19:$S$19="X")*ISNUMBER('Registro Notas'!$D9:$O9))=0, "-", SUMPRODUCT(('Matriz Criterios'!$H$19:$S$19="X")*ISNUMBER('Registro Notas'!$D9:$O9)*'Registro Notas'!$D9:$O9)/SUMPRODUCT(('Matriz Criterios'!$H$19:$S$19="X")*ISNUMBER('Registro Notas'!$D9:$O9)))</f>
        <v/>
      </c>
      <c r="Q9" s="44">
        <f>IF(SUMPRODUCT(('Matriz Criterios'!$H$20:$S$20="X")*ISNUMBER('Registro Notas'!$D9:$O9))=0, "-", SUMPRODUCT(('Matriz Criterios'!$H$20:$S$20="X")*ISNUMBER('Registro Notas'!$D9:$O9)*'Registro Notas'!$D9:$O9)/SUMPRODUCT(('Matriz Criterios'!$H$20:$S$20="X")*ISNUMBER('Registro Notas'!$D9:$O9)))</f>
        <v/>
      </c>
      <c r="R9" s="44">
        <f>IF(SUMPRODUCT(('Matriz Criterios'!$H$21:$S$21="X")*ISNUMBER('Registro Notas'!$D9:$O9))=0, "-", SUMPRODUCT(('Matriz Criterios'!$H$21:$S$21="X")*ISNUMBER('Registro Notas'!$D9:$O9)*'Registro Notas'!$D9:$O9)/SUMPRODUCT(('Matriz Criterios'!$H$21:$S$21="X")*ISNUMBER('Registro Notas'!$D9:$O9)))</f>
        <v/>
      </c>
      <c r="S9" s="44">
        <f>IF(SUMPRODUCT(('Matriz Criterios'!$H$22:$S$22="X")*ISNUMBER('Registro Notas'!$D9:$O9))=0, "-", SUMPRODUCT(('Matriz Criterios'!$H$22:$S$22="X")*ISNUMBER('Registro Notas'!$D9:$O9)*'Registro Notas'!$D9:$O9)/SUMPRODUCT(('Matriz Criterios'!$H$22:$S$22="X")*ISNUMBER('Registro Notas'!$D9:$O9)))</f>
        <v/>
      </c>
      <c r="T9" s="44">
        <f>IF(SUMPRODUCT(('Matriz Criterios'!$H$23:$S$23="X")*ISNUMBER('Registro Notas'!$D9:$O9))=0, "-", SUMPRODUCT(('Matriz Criterios'!$H$23:$S$23="X")*ISNUMBER('Registro Notas'!$D9:$O9)*'Registro Notas'!$D9:$O9)/SUMPRODUCT(('Matriz Criterios'!$H$23:$S$23="X")*ISNUMBER('Registro Notas'!$D9:$O9)))</f>
        <v/>
      </c>
      <c r="U9" s="44">
        <f>IF(SUMPRODUCT(('Matriz Criterios'!$H$24:$S$24="X")*ISNUMBER('Registro Notas'!$D9:$O9))=0, "-", SUMPRODUCT(('Matriz Criterios'!$H$24:$S$24="X")*ISNUMBER('Registro Notas'!$D9:$O9)*'Registro Notas'!$D9:$O9)/SUMPRODUCT(('Matriz Criterios'!$H$24:$S$24="X")*ISNUMBER('Registro Notas'!$D9:$O9)))</f>
        <v/>
      </c>
      <c r="V9" s="44">
        <f>IF(SUMPRODUCT(('Matriz Criterios'!$H$25:$S$25="X")*ISNUMBER('Registro Notas'!$D9:$O9))=0, "-", SUMPRODUCT(('Matriz Criterios'!$H$25:$S$25="X")*ISNUMBER('Registro Notas'!$D9:$O9)*'Registro Notas'!$D9:$O9)/SUMPRODUCT(('Matriz Criterios'!$H$25:$S$25="X")*ISNUMBER('Registro Notas'!$D9:$O9)))</f>
        <v/>
      </c>
      <c r="W9" s="44">
        <f>IF(SUMPRODUCT(('Matriz Criterios'!$H$26:$S$26="X")*ISNUMBER('Registro Notas'!$D9:$O9))=0, "-", SUMPRODUCT(('Matriz Criterios'!$H$26:$S$26="X")*ISNUMBER('Registro Notas'!$D9:$O9)*'Registro Notas'!$D9:$O9)/SUMPRODUCT(('Matriz Criterios'!$H$26:$S$26="X")*ISNUMBER('Registro Notas'!$D9:$O9)))</f>
        <v/>
      </c>
      <c r="X9" s="44">
        <f>IF(SUMPRODUCT(('Matriz Criterios'!$H$27:$S$27="X")*ISNUMBER('Registro Notas'!$D9:$O9))=0, "-", SUMPRODUCT(('Matriz Criterios'!$H$27:$S$27="X")*ISNUMBER('Registro Notas'!$D9:$O9)*'Registro Notas'!$D9:$O9)/SUMPRODUCT(('Matriz Criterios'!$H$27:$S$27="X")*ISNUMBER('Registro Notas'!$D9:$O9)))</f>
        <v/>
      </c>
      <c r="Y9" s="44">
        <f>IF(SUMPRODUCT(('Matriz Criterios'!$H$28:$S$28="X")*ISNUMBER('Registro Notas'!$D9:$O9))=0, "-", SUMPRODUCT(('Matriz Criterios'!$H$28:$S$28="X")*ISNUMBER('Registro Notas'!$D9:$O9)*'Registro Notas'!$D9:$O9)/SUMPRODUCT(('Matriz Criterios'!$H$28:$S$28="X")*ISNUMBER('Registro Notas'!$D9:$O9)))</f>
        <v/>
      </c>
      <c r="Z9" s="44">
        <f>IF(SUMPRODUCT(('Matriz Criterios'!$H$29:$S$29="X")*ISNUMBER('Registro Notas'!$D9:$O9))=0, "-", SUMPRODUCT(('Matriz Criterios'!$H$29:$S$29="X")*ISNUMBER('Registro Notas'!$D9:$O9)*'Registro Notas'!$D9:$O9)/SUMPRODUCT(('Matriz Criterios'!$H$29:$S$29="X")*ISNUMBER('Registro Notas'!$D9:$O9)))</f>
        <v/>
      </c>
      <c r="AA9" s="44">
        <f>IF(SUMPRODUCT(('Matriz Criterios'!$H$30:$S$30="X")*ISNUMBER('Registro Notas'!$D9:$O9))=0, "-", SUMPRODUCT(('Matriz Criterios'!$H$30:$S$30="X")*ISNUMBER('Registro Notas'!$D9:$O9)*'Registro Notas'!$D9:$O9)/SUMPRODUCT(('Matriz Criterios'!$H$30:$S$30="X")*ISNUMBER('Registro Notas'!$D9:$O9)))</f>
        <v/>
      </c>
      <c r="AB9" s="44">
        <f>IF(SUMPRODUCT(('Matriz Criterios'!$H$31:$S$31="X")*ISNUMBER('Registro Notas'!$D9:$O9))=0, "-", SUMPRODUCT(('Matriz Criterios'!$H$31:$S$31="X")*ISNUMBER('Registro Notas'!$D9:$O9)*'Registro Notas'!$D9:$O9)/SUMPRODUCT(('Matriz Criterios'!$H$31:$S$31="X")*ISNUMBER('Registro Notas'!$D9:$O9)))</f>
        <v/>
      </c>
      <c r="AC9" s="44">
        <f>IF(SUMPRODUCT(('Matriz Criterios'!$H$32:$S$32="X")*ISNUMBER('Registro Notas'!$D9:$O9))=0, "-", SUMPRODUCT(('Matriz Criterios'!$H$32:$S$32="X")*ISNUMBER('Registro Notas'!$D9:$O9)*'Registro Notas'!$D9:$O9)/SUMPRODUCT(('Matriz Criterios'!$H$32:$S$32="X")*ISNUMBER('Registro Notas'!$D9:$O9)))</f>
        <v/>
      </c>
      <c r="AD9" s="44">
        <f>IF(SUMPRODUCT(('Matriz Criterios'!$H$33:$S$33="X")*ISNUMBER('Registro Notas'!$D9:$O9))=0, "-", SUMPRODUCT(('Matriz Criterios'!$H$33:$S$33="X")*ISNUMBER('Registro Notas'!$D9:$O9)*'Registro Notas'!$D9:$O9)/SUMPRODUCT(('Matriz Criterios'!$H$33:$S$33="X")*ISNUMBER('Registro Notas'!$D9:$O9)))</f>
        <v/>
      </c>
      <c r="AE9" s="44">
        <f>IF(SUMPRODUCT(('Matriz Criterios'!$H$34:$S$34="X")*ISNUMBER('Registro Notas'!$D9:$O9))=0, "-", SUMPRODUCT(('Matriz Criterios'!$H$34:$S$34="X")*ISNUMBER('Registro Notas'!$D9:$O9)*'Registro Notas'!$D9:$O9)/SUMPRODUCT(('Matriz Criterios'!$H$34:$S$34="X")*ISNUMBER('Registro Notas'!$D9:$O9)))</f>
        <v/>
      </c>
      <c r="AF9" s="44">
        <f>IF(SUMPRODUCT(('Matriz Criterios'!$H$35:$S$35="X")*ISNUMBER('Registro Notas'!$D9:$O9))=0, "-", SUMPRODUCT(('Matriz Criterios'!$H$35:$S$35="X")*ISNUMBER('Registro Notas'!$D9:$O9)*'Registro Notas'!$D9:$O9)/SUMPRODUCT(('Matriz Criterios'!$H$35:$S$35="X")*ISNUMBER('Registro Notas'!$D9:$O9)))</f>
        <v/>
      </c>
      <c r="AG9" s="44">
        <f>IF(SUMPRODUCT(('Matriz Criterios'!$H$36:$S$36="X")*ISNUMBER('Registro Notas'!$D9:$O9))=0, "-", SUMPRODUCT(('Matriz Criterios'!$H$36:$S$36="X")*ISNUMBER('Registro Notas'!$D9:$O9)*'Registro Notas'!$D9:$O9)/SUMPRODUCT(('Matriz Criterios'!$H$36:$S$36="X")*ISNUMBER('Registro Notas'!$D9:$O9)))</f>
        <v/>
      </c>
      <c r="AH9" s="44">
        <f>IF(SUMPRODUCT(('Matriz Criterios'!$H$37:$S$37="X")*ISNUMBER('Registro Notas'!$D9:$O9))=0, "-", SUMPRODUCT(('Matriz Criterios'!$H$37:$S$37="X")*ISNUMBER('Registro Notas'!$D9:$O9)*'Registro Notas'!$D9:$O9)/SUMPRODUCT(('Matriz Criterios'!$H$37:$S$37="X")*ISNUMBER('Registro Notas'!$D9:$O9)))</f>
        <v/>
      </c>
      <c r="AI9" s="44">
        <f>IF(SUMPRODUCT(('Matriz Criterios'!$H$38:$S$38="X")*ISNUMBER('Registro Notas'!$D9:$O9))=0, "-", SUMPRODUCT(('Matriz Criterios'!$H$38:$S$38="X")*ISNUMBER('Registro Notas'!$D9:$O9)*'Registro Notas'!$D9:$O9)/SUMPRODUCT(('Matriz Criterios'!$H$38:$S$38="X")*ISNUMBER('Registro Notas'!$D9:$O9)))</f>
        <v/>
      </c>
      <c r="AJ9" s="44">
        <f>IF(SUMPRODUCT(('Matriz Criterios'!$H$39:$S$39="X")*ISNUMBER('Registro Notas'!$D9:$O9))=0, "-", SUMPRODUCT(('Matriz Criterios'!$H$39:$S$39="X")*ISNUMBER('Registro Notas'!$D9:$O9)*'Registro Notas'!$D9:$O9)/SUMPRODUCT(('Matriz Criterios'!$H$39:$S$39="X")*ISNUMBER('Registro Notas'!$D9:$O9)))</f>
        <v/>
      </c>
      <c r="AK9" s="42">
        <f>AVERAGE(C9:AJ9)</f>
        <v/>
      </c>
      <c r="AL9" s="53">
        <f>COUNTIF(C9:AJ9, "&gt;=5")</f>
        <v/>
      </c>
    </row>
    <row r="10" ht="20" customHeight="1">
      <c r="A10" s="15" t="n">
        <v>5</v>
      </c>
      <c r="B10" s="37" t="inlineStr">
        <is>
          <t>Fernández Navarro, Lucía</t>
        </is>
      </c>
      <c r="C10" s="38">
        <f>IF(SUMPRODUCT(('Matriz Criterios'!$H$6:$S$6="X")*ISNUMBER('Registro Notas'!$D10:$O10))=0, "-", SUMPRODUCT(('Matriz Criterios'!$H$6:$S$6="X")*ISNUMBER('Registro Notas'!$D10:$O10)*'Registro Notas'!$D10:$O10)/SUMPRODUCT(('Matriz Criterios'!$H$6:$S$6="X")*ISNUMBER('Registro Notas'!$D10:$O10)))</f>
        <v/>
      </c>
      <c r="D10" s="38">
        <f>IF(SUMPRODUCT(('Matriz Criterios'!$H$7:$S$7="X")*ISNUMBER('Registro Notas'!$D10:$O10))=0, "-", SUMPRODUCT(('Matriz Criterios'!$H$7:$S$7="X")*ISNUMBER('Registro Notas'!$D10:$O10)*'Registro Notas'!$D10:$O10)/SUMPRODUCT(('Matriz Criterios'!$H$7:$S$7="X")*ISNUMBER('Registro Notas'!$D10:$O10)))</f>
        <v/>
      </c>
      <c r="E10" s="38">
        <f>IF(SUMPRODUCT(('Matriz Criterios'!$H$8:$S$8="X")*ISNUMBER('Registro Notas'!$D10:$O10))=0, "-", SUMPRODUCT(('Matriz Criterios'!$H$8:$S$8="X")*ISNUMBER('Registro Notas'!$D10:$O10)*'Registro Notas'!$D10:$O10)/SUMPRODUCT(('Matriz Criterios'!$H$8:$S$8="X")*ISNUMBER('Registro Notas'!$D10:$O10)))</f>
        <v/>
      </c>
      <c r="F10" s="38">
        <f>IF(SUMPRODUCT(('Matriz Criterios'!$H$9:$S$9="X")*ISNUMBER('Registro Notas'!$D10:$O10))=0, "-", SUMPRODUCT(('Matriz Criterios'!$H$9:$S$9="X")*ISNUMBER('Registro Notas'!$D10:$O10)*'Registro Notas'!$D10:$O10)/SUMPRODUCT(('Matriz Criterios'!$H$9:$S$9="X")*ISNUMBER('Registro Notas'!$D10:$O10)))</f>
        <v/>
      </c>
      <c r="G10" s="38">
        <f>IF(SUMPRODUCT(('Matriz Criterios'!$H$10:$S$10="X")*ISNUMBER('Registro Notas'!$D10:$O10))=0, "-", SUMPRODUCT(('Matriz Criterios'!$H$10:$S$10="X")*ISNUMBER('Registro Notas'!$D10:$O10)*'Registro Notas'!$D10:$O10)/SUMPRODUCT(('Matriz Criterios'!$H$10:$S$10="X")*ISNUMBER('Registro Notas'!$D10:$O10)))</f>
        <v/>
      </c>
      <c r="H10" s="38">
        <f>IF(SUMPRODUCT(('Matriz Criterios'!$H$11:$S$11="X")*ISNUMBER('Registro Notas'!$D10:$O10))=0, "-", SUMPRODUCT(('Matriz Criterios'!$H$11:$S$11="X")*ISNUMBER('Registro Notas'!$D10:$O10)*'Registro Notas'!$D10:$O10)/SUMPRODUCT(('Matriz Criterios'!$H$11:$S$11="X")*ISNUMBER('Registro Notas'!$D10:$O10)))</f>
        <v/>
      </c>
      <c r="I10" s="38">
        <f>IF(SUMPRODUCT(('Matriz Criterios'!$H$12:$S$12="X")*ISNUMBER('Registro Notas'!$D10:$O10))=0, "-", SUMPRODUCT(('Matriz Criterios'!$H$12:$S$12="X")*ISNUMBER('Registro Notas'!$D10:$O10)*'Registro Notas'!$D10:$O10)/SUMPRODUCT(('Matriz Criterios'!$H$12:$S$12="X")*ISNUMBER('Registro Notas'!$D10:$O10)))</f>
        <v/>
      </c>
      <c r="J10" s="38">
        <f>IF(SUMPRODUCT(('Matriz Criterios'!$H$13:$S$13="X")*ISNUMBER('Registro Notas'!$D10:$O10))=0, "-", SUMPRODUCT(('Matriz Criterios'!$H$13:$S$13="X")*ISNUMBER('Registro Notas'!$D10:$O10)*'Registro Notas'!$D10:$O10)/SUMPRODUCT(('Matriz Criterios'!$H$13:$S$13="X")*ISNUMBER('Registro Notas'!$D10:$O10)))</f>
        <v/>
      </c>
      <c r="K10" s="38">
        <f>IF(SUMPRODUCT(('Matriz Criterios'!$H$14:$S$14="X")*ISNUMBER('Registro Notas'!$D10:$O10))=0, "-", SUMPRODUCT(('Matriz Criterios'!$H$14:$S$14="X")*ISNUMBER('Registro Notas'!$D10:$O10)*'Registro Notas'!$D10:$O10)/SUMPRODUCT(('Matriz Criterios'!$H$14:$S$14="X")*ISNUMBER('Registro Notas'!$D10:$O10)))</f>
        <v/>
      </c>
      <c r="L10" s="38">
        <f>IF(SUMPRODUCT(('Matriz Criterios'!$H$15:$S$15="X")*ISNUMBER('Registro Notas'!$D10:$O10))=0, "-", SUMPRODUCT(('Matriz Criterios'!$H$15:$S$15="X")*ISNUMBER('Registro Notas'!$D10:$O10)*'Registro Notas'!$D10:$O10)/SUMPRODUCT(('Matriz Criterios'!$H$15:$S$15="X")*ISNUMBER('Registro Notas'!$D10:$O10)))</f>
        <v/>
      </c>
      <c r="M10" s="38">
        <f>IF(SUMPRODUCT(('Matriz Criterios'!$H$16:$S$16="X")*ISNUMBER('Registro Notas'!$D10:$O10))=0, "-", SUMPRODUCT(('Matriz Criterios'!$H$16:$S$16="X")*ISNUMBER('Registro Notas'!$D10:$O10)*'Registro Notas'!$D10:$O10)/SUMPRODUCT(('Matriz Criterios'!$H$16:$S$16="X")*ISNUMBER('Registro Notas'!$D10:$O10)))</f>
        <v/>
      </c>
      <c r="N10" s="38">
        <f>IF(SUMPRODUCT(('Matriz Criterios'!$H$17:$S$17="X")*ISNUMBER('Registro Notas'!$D10:$O10))=0, "-", SUMPRODUCT(('Matriz Criterios'!$H$17:$S$17="X")*ISNUMBER('Registro Notas'!$D10:$O10)*'Registro Notas'!$D10:$O10)/SUMPRODUCT(('Matriz Criterios'!$H$17:$S$17="X")*ISNUMBER('Registro Notas'!$D10:$O10)))</f>
        <v/>
      </c>
      <c r="O10" s="38">
        <f>IF(SUMPRODUCT(('Matriz Criterios'!$H$18:$S$18="X")*ISNUMBER('Registro Notas'!$D10:$O10))=0, "-", SUMPRODUCT(('Matriz Criterios'!$H$18:$S$18="X")*ISNUMBER('Registro Notas'!$D10:$O10)*'Registro Notas'!$D10:$O10)/SUMPRODUCT(('Matriz Criterios'!$H$18:$S$18="X")*ISNUMBER('Registro Notas'!$D10:$O10)))</f>
        <v/>
      </c>
      <c r="P10" s="38">
        <f>IF(SUMPRODUCT(('Matriz Criterios'!$H$19:$S$19="X")*ISNUMBER('Registro Notas'!$D10:$O10))=0, "-", SUMPRODUCT(('Matriz Criterios'!$H$19:$S$19="X")*ISNUMBER('Registro Notas'!$D10:$O10)*'Registro Notas'!$D10:$O10)/SUMPRODUCT(('Matriz Criterios'!$H$19:$S$19="X")*ISNUMBER('Registro Notas'!$D10:$O10)))</f>
        <v/>
      </c>
      <c r="Q10" s="38">
        <f>IF(SUMPRODUCT(('Matriz Criterios'!$H$20:$S$20="X")*ISNUMBER('Registro Notas'!$D10:$O10))=0, "-", SUMPRODUCT(('Matriz Criterios'!$H$20:$S$20="X")*ISNUMBER('Registro Notas'!$D10:$O10)*'Registro Notas'!$D10:$O10)/SUMPRODUCT(('Matriz Criterios'!$H$20:$S$20="X")*ISNUMBER('Registro Notas'!$D10:$O10)))</f>
        <v/>
      </c>
      <c r="R10" s="38">
        <f>IF(SUMPRODUCT(('Matriz Criterios'!$H$21:$S$21="X")*ISNUMBER('Registro Notas'!$D10:$O10))=0, "-", SUMPRODUCT(('Matriz Criterios'!$H$21:$S$21="X")*ISNUMBER('Registro Notas'!$D10:$O10)*'Registro Notas'!$D10:$O10)/SUMPRODUCT(('Matriz Criterios'!$H$21:$S$21="X")*ISNUMBER('Registro Notas'!$D10:$O10)))</f>
        <v/>
      </c>
      <c r="S10" s="38">
        <f>IF(SUMPRODUCT(('Matriz Criterios'!$H$22:$S$22="X")*ISNUMBER('Registro Notas'!$D10:$O10))=0, "-", SUMPRODUCT(('Matriz Criterios'!$H$22:$S$22="X")*ISNUMBER('Registro Notas'!$D10:$O10)*'Registro Notas'!$D10:$O10)/SUMPRODUCT(('Matriz Criterios'!$H$22:$S$22="X")*ISNUMBER('Registro Notas'!$D10:$O10)))</f>
        <v/>
      </c>
      <c r="T10" s="38">
        <f>IF(SUMPRODUCT(('Matriz Criterios'!$H$23:$S$23="X")*ISNUMBER('Registro Notas'!$D10:$O10))=0, "-", SUMPRODUCT(('Matriz Criterios'!$H$23:$S$23="X")*ISNUMBER('Registro Notas'!$D10:$O10)*'Registro Notas'!$D10:$O10)/SUMPRODUCT(('Matriz Criterios'!$H$23:$S$23="X")*ISNUMBER('Registro Notas'!$D10:$O10)))</f>
        <v/>
      </c>
      <c r="U10" s="38">
        <f>IF(SUMPRODUCT(('Matriz Criterios'!$H$24:$S$24="X")*ISNUMBER('Registro Notas'!$D10:$O10))=0, "-", SUMPRODUCT(('Matriz Criterios'!$H$24:$S$24="X")*ISNUMBER('Registro Notas'!$D10:$O10)*'Registro Notas'!$D10:$O10)/SUMPRODUCT(('Matriz Criterios'!$H$24:$S$24="X")*ISNUMBER('Registro Notas'!$D10:$O10)))</f>
        <v/>
      </c>
      <c r="V10" s="38">
        <f>IF(SUMPRODUCT(('Matriz Criterios'!$H$25:$S$25="X")*ISNUMBER('Registro Notas'!$D10:$O10))=0, "-", SUMPRODUCT(('Matriz Criterios'!$H$25:$S$25="X")*ISNUMBER('Registro Notas'!$D10:$O10)*'Registro Notas'!$D10:$O10)/SUMPRODUCT(('Matriz Criterios'!$H$25:$S$25="X")*ISNUMBER('Registro Notas'!$D10:$O10)))</f>
        <v/>
      </c>
      <c r="W10" s="38">
        <f>IF(SUMPRODUCT(('Matriz Criterios'!$H$26:$S$26="X")*ISNUMBER('Registro Notas'!$D10:$O10))=0, "-", SUMPRODUCT(('Matriz Criterios'!$H$26:$S$26="X")*ISNUMBER('Registro Notas'!$D10:$O10)*'Registro Notas'!$D10:$O10)/SUMPRODUCT(('Matriz Criterios'!$H$26:$S$26="X")*ISNUMBER('Registro Notas'!$D10:$O10)))</f>
        <v/>
      </c>
      <c r="X10" s="38">
        <f>IF(SUMPRODUCT(('Matriz Criterios'!$H$27:$S$27="X")*ISNUMBER('Registro Notas'!$D10:$O10))=0, "-", SUMPRODUCT(('Matriz Criterios'!$H$27:$S$27="X")*ISNUMBER('Registro Notas'!$D10:$O10)*'Registro Notas'!$D10:$O10)/SUMPRODUCT(('Matriz Criterios'!$H$27:$S$27="X")*ISNUMBER('Registro Notas'!$D10:$O10)))</f>
        <v/>
      </c>
      <c r="Y10" s="38">
        <f>IF(SUMPRODUCT(('Matriz Criterios'!$H$28:$S$28="X")*ISNUMBER('Registro Notas'!$D10:$O10))=0, "-", SUMPRODUCT(('Matriz Criterios'!$H$28:$S$28="X")*ISNUMBER('Registro Notas'!$D10:$O10)*'Registro Notas'!$D10:$O10)/SUMPRODUCT(('Matriz Criterios'!$H$28:$S$28="X")*ISNUMBER('Registro Notas'!$D10:$O10)))</f>
        <v/>
      </c>
      <c r="Z10" s="38">
        <f>IF(SUMPRODUCT(('Matriz Criterios'!$H$29:$S$29="X")*ISNUMBER('Registro Notas'!$D10:$O10))=0, "-", SUMPRODUCT(('Matriz Criterios'!$H$29:$S$29="X")*ISNUMBER('Registro Notas'!$D10:$O10)*'Registro Notas'!$D10:$O10)/SUMPRODUCT(('Matriz Criterios'!$H$29:$S$29="X")*ISNUMBER('Registro Notas'!$D10:$O10)))</f>
        <v/>
      </c>
      <c r="AA10" s="38">
        <f>IF(SUMPRODUCT(('Matriz Criterios'!$H$30:$S$30="X")*ISNUMBER('Registro Notas'!$D10:$O10))=0, "-", SUMPRODUCT(('Matriz Criterios'!$H$30:$S$30="X")*ISNUMBER('Registro Notas'!$D10:$O10)*'Registro Notas'!$D10:$O10)/SUMPRODUCT(('Matriz Criterios'!$H$30:$S$30="X")*ISNUMBER('Registro Notas'!$D10:$O10)))</f>
        <v/>
      </c>
      <c r="AB10" s="38">
        <f>IF(SUMPRODUCT(('Matriz Criterios'!$H$31:$S$31="X")*ISNUMBER('Registro Notas'!$D10:$O10))=0, "-", SUMPRODUCT(('Matriz Criterios'!$H$31:$S$31="X")*ISNUMBER('Registro Notas'!$D10:$O10)*'Registro Notas'!$D10:$O10)/SUMPRODUCT(('Matriz Criterios'!$H$31:$S$31="X")*ISNUMBER('Registro Notas'!$D10:$O10)))</f>
        <v/>
      </c>
      <c r="AC10" s="38">
        <f>IF(SUMPRODUCT(('Matriz Criterios'!$H$32:$S$32="X")*ISNUMBER('Registro Notas'!$D10:$O10))=0, "-", SUMPRODUCT(('Matriz Criterios'!$H$32:$S$32="X")*ISNUMBER('Registro Notas'!$D10:$O10)*'Registro Notas'!$D10:$O10)/SUMPRODUCT(('Matriz Criterios'!$H$32:$S$32="X")*ISNUMBER('Registro Notas'!$D10:$O10)))</f>
        <v/>
      </c>
      <c r="AD10" s="38">
        <f>IF(SUMPRODUCT(('Matriz Criterios'!$H$33:$S$33="X")*ISNUMBER('Registro Notas'!$D10:$O10))=0, "-", SUMPRODUCT(('Matriz Criterios'!$H$33:$S$33="X")*ISNUMBER('Registro Notas'!$D10:$O10)*'Registro Notas'!$D10:$O10)/SUMPRODUCT(('Matriz Criterios'!$H$33:$S$33="X")*ISNUMBER('Registro Notas'!$D10:$O10)))</f>
        <v/>
      </c>
      <c r="AE10" s="38">
        <f>IF(SUMPRODUCT(('Matriz Criterios'!$H$34:$S$34="X")*ISNUMBER('Registro Notas'!$D10:$O10))=0, "-", SUMPRODUCT(('Matriz Criterios'!$H$34:$S$34="X")*ISNUMBER('Registro Notas'!$D10:$O10)*'Registro Notas'!$D10:$O10)/SUMPRODUCT(('Matriz Criterios'!$H$34:$S$34="X")*ISNUMBER('Registro Notas'!$D10:$O10)))</f>
        <v/>
      </c>
      <c r="AF10" s="38">
        <f>IF(SUMPRODUCT(('Matriz Criterios'!$H$35:$S$35="X")*ISNUMBER('Registro Notas'!$D10:$O10))=0, "-", SUMPRODUCT(('Matriz Criterios'!$H$35:$S$35="X")*ISNUMBER('Registro Notas'!$D10:$O10)*'Registro Notas'!$D10:$O10)/SUMPRODUCT(('Matriz Criterios'!$H$35:$S$35="X")*ISNUMBER('Registro Notas'!$D10:$O10)))</f>
        <v/>
      </c>
      <c r="AG10" s="38">
        <f>IF(SUMPRODUCT(('Matriz Criterios'!$H$36:$S$36="X")*ISNUMBER('Registro Notas'!$D10:$O10))=0, "-", SUMPRODUCT(('Matriz Criterios'!$H$36:$S$36="X")*ISNUMBER('Registro Notas'!$D10:$O10)*'Registro Notas'!$D10:$O10)/SUMPRODUCT(('Matriz Criterios'!$H$36:$S$36="X")*ISNUMBER('Registro Notas'!$D10:$O10)))</f>
        <v/>
      </c>
      <c r="AH10" s="38">
        <f>IF(SUMPRODUCT(('Matriz Criterios'!$H$37:$S$37="X")*ISNUMBER('Registro Notas'!$D10:$O10))=0, "-", SUMPRODUCT(('Matriz Criterios'!$H$37:$S$37="X")*ISNUMBER('Registro Notas'!$D10:$O10)*'Registro Notas'!$D10:$O10)/SUMPRODUCT(('Matriz Criterios'!$H$37:$S$37="X")*ISNUMBER('Registro Notas'!$D10:$O10)))</f>
        <v/>
      </c>
      <c r="AI10" s="38">
        <f>IF(SUMPRODUCT(('Matriz Criterios'!$H$38:$S$38="X")*ISNUMBER('Registro Notas'!$D10:$O10))=0, "-", SUMPRODUCT(('Matriz Criterios'!$H$38:$S$38="X")*ISNUMBER('Registro Notas'!$D10:$O10)*'Registro Notas'!$D10:$O10)/SUMPRODUCT(('Matriz Criterios'!$H$38:$S$38="X")*ISNUMBER('Registro Notas'!$D10:$O10)))</f>
        <v/>
      </c>
      <c r="AJ10" s="38">
        <f>IF(SUMPRODUCT(('Matriz Criterios'!$H$39:$S$39="X")*ISNUMBER('Registro Notas'!$D10:$O10))=0, "-", SUMPRODUCT(('Matriz Criterios'!$H$39:$S$39="X")*ISNUMBER('Registro Notas'!$D10:$O10)*'Registro Notas'!$D10:$O10)/SUMPRODUCT(('Matriz Criterios'!$H$39:$S$39="X")*ISNUMBER('Registro Notas'!$D10:$O10)))</f>
        <v/>
      </c>
      <c r="AK10" s="42">
        <f>AVERAGE(C10:AJ10)</f>
        <v/>
      </c>
      <c r="AL10" s="53">
        <f>COUNTIF(C10:AJ10, "&gt;=5")</f>
        <v/>
      </c>
    </row>
    <row r="11" ht="20" customHeight="1">
      <c r="A11" s="22" t="n">
        <v>6</v>
      </c>
      <c r="B11" s="43" t="inlineStr">
        <is>
          <t>García Serrano, David</t>
        </is>
      </c>
      <c r="C11" s="44">
        <f>IF(SUMPRODUCT(('Matriz Criterios'!$H$6:$S$6="X")*ISNUMBER('Registro Notas'!$D11:$O11))=0, "-", SUMPRODUCT(('Matriz Criterios'!$H$6:$S$6="X")*ISNUMBER('Registro Notas'!$D11:$O11)*'Registro Notas'!$D11:$O11)/SUMPRODUCT(('Matriz Criterios'!$H$6:$S$6="X")*ISNUMBER('Registro Notas'!$D11:$O11)))</f>
        <v/>
      </c>
      <c r="D11" s="44">
        <f>IF(SUMPRODUCT(('Matriz Criterios'!$H$7:$S$7="X")*ISNUMBER('Registro Notas'!$D11:$O11))=0, "-", SUMPRODUCT(('Matriz Criterios'!$H$7:$S$7="X")*ISNUMBER('Registro Notas'!$D11:$O11)*'Registro Notas'!$D11:$O11)/SUMPRODUCT(('Matriz Criterios'!$H$7:$S$7="X")*ISNUMBER('Registro Notas'!$D11:$O11)))</f>
        <v/>
      </c>
      <c r="E11" s="44">
        <f>IF(SUMPRODUCT(('Matriz Criterios'!$H$8:$S$8="X")*ISNUMBER('Registro Notas'!$D11:$O11))=0, "-", SUMPRODUCT(('Matriz Criterios'!$H$8:$S$8="X")*ISNUMBER('Registro Notas'!$D11:$O11)*'Registro Notas'!$D11:$O11)/SUMPRODUCT(('Matriz Criterios'!$H$8:$S$8="X")*ISNUMBER('Registro Notas'!$D11:$O11)))</f>
        <v/>
      </c>
      <c r="F11" s="44">
        <f>IF(SUMPRODUCT(('Matriz Criterios'!$H$9:$S$9="X")*ISNUMBER('Registro Notas'!$D11:$O11))=0, "-", SUMPRODUCT(('Matriz Criterios'!$H$9:$S$9="X")*ISNUMBER('Registro Notas'!$D11:$O11)*'Registro Notas'!$D11:$O11)/SUMPRODUCT(('Matriz Criterios'!$H$9:$S$9="X")*ISNUMBER('Registro Notas'!$D11:$O11)))</f>
        <v/>
      </c>
      <c r="G11" s="44">
        <f>IF(SUMPRODUCT(('Matriz Criterios'!$H$10:$S$10="X")*ISNUMBER('Registro Notas'!$D11:$O11))=0, "-", SUMPRODUCT(('Matriz Criterios'!$H$10:$S$10="X")*ISNUMBER('Registro Notas'!$D11:$O11)*'Registro Notas'!$D11:$O11)/SUMPRODUCT(('Matriz Criterios'!$H$10:$S$10="X")*ISNUMBER('Registro Notas'!$D11:$O11)))</f>
        <v/>
      </c>
      <c r="H11" s="44">
        <f>IF(SUMPRODUCT(('Matriz Criterios'!$H$11:$S$11="X")*ISNUMBER('Registro Notas'!$D11:$O11))=0, "-", SUMPRODUCT(('Matriz Criterios'!$H$11:$S$11="X")*ISNUMBER('Registro Notas'!$D11:$O11)*'Registro Notas'!$D11:$O11)/SUMPRODUCT(('Matriz Criterios'!$H$11:$S$11="X")*ISNUMBER('Registro Notas'!$D11:$O11)))</f>
        <v/>
      </c>
      <c r="I11" s="44">
        <f>IF(SUMPRODUCT(('Matriz Criterios'!$H$12:$S$12="X")*ISNUMBER('Registro Notas'!$D11:$O11))=0, "-", SUMPRODUCT(('Matriz Criterios'!$H$12:$S$12="X")*ISNUMBER('Registro Notas'!$D11:$O11)*'Registro Notas'!$D11:$O11)/SUMPRODUCT(('Matriz Criterios'!$H$12:$S$12="X")*ISNUMBER('Registro Notas'!$D11:$O11)))</f>
        <v/>
      </c>
      <c r="J11" s="44">
        <f>IF(SUMPRODUCT(('Matriz Criterios'!$H$13:$S$13="X")*ISNUMBER('Registro Notas'!$D11:$O11))=0, "-", SUMPRODUCT(('Matriz Criterios'!$H$13:$S$13="X")*ISNUMBER('Registro Notas'!$D11:$O11)*'Registro Notas'!$D11:$O11)/SUMPRODUCT(('Matriz Criterios'!$H$13:$S$13="X")*ISNUMBER('Registro Notas'!$D11:$O11)))</f>
        <v/>
      </c>
      <c r="K11" s="44">
        <f>IF(SUMPRODUCT(('Matriz Criterios'!$H$14:$S$14="X")*ISNUMBER('Registro Notas'!$D11:$O11))=0, "-", SUMPRODUCT(('Matriz Criterios'!$H$14:$S$14="X")*ISNUMBER('Registro Notas'!$D11:$O11)*'Registro Notas'!$D11:$O11)/SUMPRODUCT(('Matriz Criterios'!$H$14:$S$14="X")*ISNUMBER('Registro Notas'!$D11:$O11)))</f>
        <v/>
      </c>
      <c r="L11" s="44">
        <f>IF(SUMPRODUCT(('Matriz Criterios'!$H$15:$S$15="X")*ISNUMBER('Registro Notas'!$D11:$O11))=0, "-", SUMPRODUCT(('Matriz Criterios'!$H$15:$S$15="X")*ISNUMBER('Registro Notas'!$D11:$O11)*'Registro Notas'!$D11:$O11)/SUMPRODUCT(('Matriz Criterios'!$H$15:$S$15="X")*ISNUMBER('Registro Notas'!$D11:$O11)))</f>
        <v/>
      </c>
      <c r="M11" s="44">
        <f>IF(SUMPRODUCT(('Matriz Criterios'!$H$16:$S$16="X")*ISNUMBER('Registro Notas'!$D11:$O11))=0, "-", SUMPRODUCT(('Matriz Criterios'!$H$16:$S$16="X")*ISNUMBER('Registro Notas'!$D11:$O11)*'Registro Notas'!$D11:$O11)/SUMPRODUCT(('Matriz Criterios'!$H$16:$S$16="X")*ISNUMBER('Registro Notas'!$D11:$O11)))</f>
        <v/>
      </c>
      <c r="N11" s="44">
        <f>IF(SUMPRODUCT(('Matriz Criterios'!$H$17:$S$17="X")*ISNUMBER('Registro Notas'!$D11:$O11))=0, "-", SUMPRODUCT(('Matriz Criterios'!$H$17:$S$17="X")*ISNUMBER('Registro Notas'!$D11:$O11)*'Registro Notas'!$D11:$O11)/SUMPRODUCT(('Matriz Criterios'!$H$17:$S$17="X")*ISNUMBER('Registro Notas'!$D11:$O11)))</f>
        <v/>
      </c>
      <c r="O11" s="44">
        <f>IF(SUMPRODUCT(('Matriz Criterios'!$H$18:$S$18="X")*ISNUMBER('Registro Notas'!$D11:$O11))=0, "-", SUMPRODUCT(('Matriz Criterios'!$H$18:$S$18="X")*ISNUMBER('Registro Notas'!$D11:$O11)*'Registro Notas'!$D11:$O11)/SUMPRODUCT(('Matriz Criterios'!$H$18:$S$18="X")*ISNUMBER('Registro Notas'!$D11:$O11)))</f>
        <v/>
      </c>
      <c r="P11" s="44">
        <f>IF(SUMPRODUCT(('Matriz Criterios'!$H$19:$S$19="X")*ISNUMBER('Registro Notas'!$D11:$O11))=0, "-", SUMPRODUCT(('Matriz Criterios'!$H$19:$S$19="X")*ISNUMBER('Registro Notas'!$D11:$O11)*'Registro Notas'!$D11:$O11)/SUMPRODUCT(('Matriz Criterios'!$H$19:$S$19="X")*ISNUMBER('Registro Notas'!$D11:$O11)))</f>
        <v/>
      </c>
      <c r="Q11" s="44">
        <f>IF(SUMPRODUCT(('Matriz Criterios'!$H$20:$S$20="X")*ISNUMBER('Registro Notas'!$D11:$O11))=0, "-", SUMPRODUCT(('Matriz Criterios'!$H$20:$S$20="X")*ISNUMBER('Registro Notas'!$D11:$O11)*'Registro Notas'!$D11:$O11)/SUMPRODUCT(('Matriz Criterios'!$H$20:$S$20="X")*ISNUMBER('Registro Notas'!$D11:$O11)))</f>
        <v/>
      </c>
      <c r="R11" s="44">
        <f>IF(SUMPRODUCT(('Matriz Criterios'!$H$21:$S$21="X")*ISNUMBER('Registro Notas'!$D11:$O11))=0, "-", SUMPRODUCT(('Matriz Criterios'!$H$21:$S$21="X")*ISNUMBER('Registro Notas'!$D11:$O11)*'Registro Notas'!$D11:$O11)/SUMPRODUCT(('Matriz Criterios'!$H$21:$S$21="X")*ISNUMBER('Registro Notas'!$D11:$O11)))</f>
        <v/>
      </c>
      <c r="S11" s="44">
        <f>IF(SUMPRODUCT(('Matriz Criterios'!$H$22:$S$22="X")*ISNUMBER('Registro Notas'!$D11:$O11))=0, "-", SUMPRODUCT(('Matriz Criterios'!$H$22:$S$22="X")*ISNUMBER('Registro Notas'!$D11:$O11)*'Registro Notas'!$D11:$O11)/SUMPRODUCT(('Matriz Criterios'!$H$22:$S$22="X")*ISNUMBER('Registro Notas'!$D11:$O11)))</f>
        <v/>
      </c>
      <c r="T11" s="44">
        <f>IF(SUMPRODUCT(('Matriz Criterios'!$H$23:$S$23="X")*ISNUMBER('Registro Notas'!$D11:$O11))=0, "-", SUMPRODUCT(('Matriz Criterios'!$H$23:$S$23="X")*ISNUMBER('Registro Notas'!$D11:$O11)*'Registro Notas'!$D11:$O11)/SUMPRODUCT(('Matriz Criterios'!$H$23:$S$23="X")*ISNUMBER('Registro Notas'!$D11:$O11)))</f>
        <v/>
      </c>
      <c r="U11" s="44">
        <f>IF(SUMPRODUCT(('Matriz Criterios'!$H$24:$S$24="X")*ISNUMBER('Registro Notas'!$D11:$O11))=0, "-", SUMPRODUCT(('Matriz Criterios'!$H$24:$S$24="X")*ISNUMBER('Registro Notas'!$D11:$O11)*'Registro Notas'!$D11:$O11)/SUMPRODUCT(('Matriz Criterios'!$H$24:$S$24="X")*ISNUMBER('Registro Notas'!$D11:$O11)))</f>
        <v/>
      </c>
      <c r="V11" s="44">
        <f>IF(SUMPRODUCT(('Matriz Criterios'!$H$25:$S$25="X")*ISNUMBER('Registro Notas'!$D11:$O11))=0, "-", SUMPRODUCT(('Matriz Criterios'!$H$25:$S$25="X")*ISNUMBER('Registro Notas'!$D11:$O11)*'Registro Notas'!$D11:$O11)/SUMPRODUCT(('Matriz Criterios'!$H$25:$S$25="X")*ISNUMBER('Registro Notas'!$D11:$O11)))</f>
        <v/>
      </c>
      <c r="W11" s="44">
        <f>IF(SUMPRODUCT(('Matriz Criterios'!$H$26:$S$26="X")*ISNUMBER('Registro Notas'!$D11:$O11))=0, "-", SUMPRODUCT(('Matriz Criterios'!$H$26:$S$26="X")*ISNUMBER('Registro Notas'!$D11:$O11)*'Registro Notas'!$D11:$O11)/SUMPRODUCT(('Matriz Criterios'!$H$26:$S$26="X")*ISNUMBER('Registro Notas'!$D11:$O11)))</f>
        <v/>
      </c>
      <c r="X11" s="44">
        <f>IF(SUMPRODUCT(('Matriz Criterios'!$H$27:$S$27="X")*ISNUMBER('Registro Notas'!$D11:$O11))=0, "-", SUMPRODUCT(('Matriz Criterios'!$H$27:$S$27="X")*ISNUMBER('Registro Notas'!$D11:$O11)*'Registro Notas'!$D11:$O11)/SUMPRODUCT(('Matriz Criterios'!$H$27:$S$27="X")*ISNUMBER('Registro Notas'!$D11:$O11)))</f>
        <v/>
      </c>
      <c r="Y11" s="44">
        <f>IF(SUMPRODUCT(('Matriz Criterios'!$H$28:$S$28="X")*ISNUMBER('Registro Notas'!$D11:$O11))=0, "-", SUMPRODUCT(('Matriz Criterios'!$H$28:$S$28="X")*ISNUMBER('Registro Notas'!$D11:$O11)*'Registro Notas'!$D11:$O11)/SUMPRODUCT(('Matriz Criterios'!$H$28:$S$28="X")*ISNUMBER('Registro Notas'!$D11:$O11)))</f>
        <v/>
      </c>
      <c r="Z11" s="44">
        <f>IF(SUMPRODUCT(('Matriz Criterios'!$H$29:$S$29="X")*ISNUMBER('Registro Notas'!$D11:$O11))=0, "-", SUMPRODUCT(('Matriz Criterios'!$H$29:$S$29="X")*ISNUMBER('Registro Notas'!$D11:$O11)*'Registro Notas'!$D11:$O11)/SUMPRODUCT(('Matriz Criterios'!$H$29:$S$29="X")*ISNUMBER('Registro Notas'!$D11:$O11)))</f>
        <v/>
      </c>
      <c r="AA11" s="44">
        <f>IF(SUMPRODUCT(('Matriz Criterios'!$H$30:$S$30="X")*ISNUMBER('Registro Notas'!$D11:$O11))=0, "-", SUMPRODUCT(('Matriz Criterios'!$H$30:$S$30="X")*ISNUMBER('Registro Notas'!$D11:$O11)*'Registro Notas'!$D11:$O11)/SUMPRODUCT(('Matriz Criterios'!$H$30:$S$30="X")*ISNUMBER('Registro Notas'!$D11:$O11)))</f>
        <v/>
      </c>
      <c r="AB11" s="44">
        <f>IF(SUMPRODUCT(('Matriz Criterios'!$H$31:$S$31="X")*ISNUMBER('Registro Notas'!$D11:$O11))=0, "-", SUMPRODUCT(('Matriz Criterios'!$H$31:$S$31="X")*ISNUMBER('Registro Notas'!$D11:$O11)*'Registro Notas'!$D11:$O11)/SUMPRODUCT(('Matriz Criterios'!$H$31:$S$31="X")*ISNUMBER('Registro Notas'!$D11:$O11)))</f>
        <v/>
      </c>
      <c r="AC11" s="44">
        <f>IF(SUMPRODUCT(('Matriz Criterios'!$H$32:$S$32="X")*ISNUMBER('Registro Notas'!$D11:$O11))=0, "-", SUMPRODUCT(('Matriz Criterios'!$H$32:$S$32="X")*ISNUMBER('Registro Notas'!$D11:$O11)*'Registro Notas'!$D11:$O11)/SUMPRODUCT(('Matriz Criterios'!$H$32:$S$32="X")*ISNUMBER('Registro Notas'!$D11:$O11)))</f>
        <v/>
      </c>
      <c r="AD11" s="44">
        <f>IF(SUMPRODUCT(('Matriz Criterios'!$H$33:$S$33="X")*ISNUMBER('Registro Notas'!$D11:$O11))=0, "-", SUMPRODUCT(('Matriz Criterios'!$H$33:$S$33="X")*ISNUMBER('Registro Notas'!$D11:$O11)*'Registro Notas'!$D11:$O11)/SUMPRODUCT(('Matriz Criterios'!$H$33:$S$33="X")*ISNUMBER('Registro Notas'!$D11:$O11)))</f>
        <v/>
      </c>
      <c r="AE11" s="44">
        <f>IF(SUMPRODUCT(('Matriz Criterios'!$H$34:$S$34="X")*ISNUMBER('Registro Notas'!$D11:$O11))=0, "-", SUMPRODUCT(('Matriz Criterios'!$H$34:$S$34="X")*ISNUMBER('Registro Notas'!$D11:$O11)*'Registro Notas'!$D11:$O11)/SUMPRODUCT(('Matriz Criterios'!$H$34:$S$34="X")*ISNUMBER('Registro Notas'!$D11:$O11)))</f>
        <v/>
      </c>
      <c r="AF11" s="44">
        <f>IF(SUMPRODUCT(('Matriz Criterios'!$H$35:$S$35="X")*ISNUMBER('Registro Notas'!$D11:$O11))=0, "-", SUMPRODUCT(('Matriz Criterios'!$H$35:$S$35="X")*ISNUMBER('Registro Notas'!$D11:$O11)*'Registro Notas'!$D11:$O11)/SUMPRODUCT(('Matriz Criterios'!$H$35:$S$35="X")*ISNUMBER('Registro Notas'!$D11:$O11)))</f>
        <v/>
      </c>
      <c r="AG11" s="44">
        <f>IF(SUMPRODUCT(('Matriz Criterios'!$H$36:$S$36="X")*ISNUMBER('Registro Notas'!$D11:$O11))=0, "-", SUMPRODUCT(('Matriz Criterios'!$H$36:$S$36="X")*ISNUMBER('Registro Notas'!$D11:$O11)*'Registro Notas'!$D11:$O11)/SUMPRODUCT(('Matriz Criterios'!$H$36:$S$36="X")*ISNUMBER('Registro Notas'!$D11:$O11)))</f>
        <v/>
      </c>
      <c r="AH11" s="44">
        <f>IF(SUMPRODUCT(('Matriz Criterios'!$H$37:$S$37="X")*ISNUMBER('Registro Notas'!$D11:$O11))=0, "-", SUMPRODUCT(('Matriz Criterios'!$H$37:$S$37="X")*ISNUMBER('Registro Notas'!$D11:$O11)*'Registro Notas'!$D11:$O11)/SUMPRODUCT(('Matriz Criterios'!$H$37:$S$37="X")*ISNUMBER('Registro Notas'!$D11:$O11)))</f>
        <v/>
      </c>
      <c r="AI11" s="44">
        <f>IF(SUMPRODUCT(('Matriz Criterios'!$H$38:$S$38="X")*ISNUMBER('Registro Notas'!$D11:$O11))=0, "-", SUMPRODUCT(('Matriz Criterios'!$H$38:$S$38="X")*ISNUMBER('Registro Notas'!$D11:$O11)*'Registro Notas'!$D11:$O11)/SUMPRODUCT(('Matriz Criterios'!$H$38:$S$38="X")*ISNUMBER('Registro Notas'!$D11:$O11)))</f>
        <v/>
      </c>
      <c r="AJ11" s="44">
        <f>IF(SUMPRODUCT(('Matriz Criterios'!$H$39:$S$39="X")*ISNUMBER('Registro Notas'!$D11:$O11))=0, "-", SUMPRODUCT(('Matriz Criterios'!$H$39:$S$39="X")*ISNUMBER('Registro Notas'!$D11:$O11)*'Registro Notas'!$D11:$O11)/SUMPRODUCT(('Matriz Criterios'!$H$39:$S$39="X")*ISNUMBER('Registro Notas'!$D11:$O11)))</f>
        <v/>
      </c>
      <c r="AK11" s="42">
        <f>AVERAGE(C11:AJ11)</f>
        <v/>
      </c>
      <c r="AL11" s="53">
        <f>COUNTIF(C11:AJ11, "&gt;=5")</f>
        <v/>
      </c>
    </row>
    <row r="12" ht="20" customHeight="1">
      <c r="A12" s="15" t="n">
        <v>7</v>
      </c>
      <c r="B12" s="37" t="inlineStr">
        <is>
          <t>Herrera Cruz, Marta</t>
        </is>
      </c>
      <c r="C12" s="38">
        <f>IF(SUMPRODUCT(('Matriz Criterios'!$H$6:$S$6="X")*ISNUMBER('Registro Notas'!$D12:$O12))=0, "-", SUMPRODUCT(('Matriz Criterios'!$H$6:$S$6="X")*ISNUMBER('Registro Notas'!$D12:$O12)*'Registro Notas'!$D12:$O12)/SUMPRODUCT(('Matriz Criterios'!$H$6:$S$6="X")*ISNUMBER('Registro Notas'!$D12:$O12)))</f>
        <v/>
      </c>
      <c r="D12" s="38">
        <f>IF(SUMPRODUCT(('Matriz Criterios'!$H$7:$S$7="X")*ISNUMBER('Registro Notas'!$D12:$O12))=0, "-", SUMPRODUCT(('Matriz Criterios'!$H$7:$S$7="X")*ISNUMBER('Registro Notas'!$D12:$O12)*'Registro Notas'!$D12:$O12)/SUMPRODUCT(('Matriz Criterios'!$H$7:$S$7="X")*ISNUMBER('Registro Notas'!$D12:$O12)))</f>
        <v/>
      </c>
      <c r="E12" s="38">
        <f>IF(SUMPRODUCT(('Matriz Criterios'!$H$8:$S$8="X")*ISNUMBER('Registro Notas'!$D12:$O12))=0, "-", SUMPRODUCT(('Matriz Criterios'!$H$8:$S$8="X")*ISNUMBER('Registro Notas'!$D12:$O12)*'Registro Notas'!$D12:$O12)/SUMPRODUCT(('Matriz Criterios'!$H$8:$S$8="X")*ISNUMBER('Registro Notas'!$D12:$O12)))</f>
        <v/>
      </c>
      <c r="F12" s="38">
        <f>IF(SUMPRODUCT(('Matriz Criterios'!$H$9:$S$9="X")*ISNUMBER('Registro Notas'!$D12:$O12))=0, "-", SUMPRODUCT(('Matriz Criterios'!$H$9:$S$9="X")*ISNUMBER('Registro Notas'!$D12:$O12)*'Registro Notas'!$D12:$O12)/SUMPRODUCT(('Matriz Criterios'!$H$9:$S$9="X")*ISNUMBER('Registro Notas'!$D12:$O12)))</f>
        <v/>
      </c>
      <c r="G12" s="38">
        <f>IF(SUMPRODUCT(('Matriz Criterios'!$H$10:$S$10="X")*ISNUMBER('Registro Notas'!$D12:$O12))=0, "-", SUMPRODUCT(('Matriz Criterios'!$H$10:$S$10="X")*ISNUMBER('Registro Notas'!$D12:$O12)*'Registro Notas'!$D12:$O12)/SUMPRODUCT(('Matriz Criterios'!$H$10:$S$10="X")*ISNUMBER('Registro Notas'!$D12:$O12)))</f>
        <v/>
      </c>
      <c r="H12" s="38">
        <f>IF(SUMPRODUCT(('Matriz Criterios'!$H$11:$S$11="X")*ISNUMBER('Registro Notas'!$D12:$O12))=0, "-", SUMPRODUCT(('Matriz Criterios'!$H$11:$S$11="X")*ISNUMBER('Registro Notas'!$D12:$O12)*'Registro Notas'!$D12:$O12)/SUMPRODUCT(('Matriz Criterios'!$H$11:$S$11="X")*ISNUMBER('Registro Notas'!$D12:$O12)))</f>
        <v/>
      </c>
      <c r="I12" s="38">
        <f>IF(SUMPRODUCT(('Matriz Criterios'!$H$12:$S$12="X")*ISNUMBER('Registro Notas'!$D12:$O12))=0, "-", SUMPRODUCT(('Matriz Criterios'!$H$12:$S$12="X")*ISNUMBER('Registro Notas'!$D12:$O12)*'Registro Notas'!$D12:$O12)/SUMPRODUCT(('Matriz Criterios'!$H$12:$S$12="X")*ISNUMBER('Registro Notas'!$D12:$O12)))</f>
        <v/>
      </c>
      <c r="J12" s="38">
        <f>IF(SUMPRODUCT(('Matriz Criterios'!$H$13:$S$13="X")*ISNUMBER('Registro Notas'!$D12:$O12))=0, "-", SUMPRODUCT(('Matriz Criterios'!$H$13:$S$13="X")*ISNUMBER('Registro Notas'!$D12:$O12)*'Registro Notas'!$D12:$O12)/SUMPRODUCT(('Matriz Criterios'!$H$13:$S$13="X")*ISNUMBER('Registro Notas'!$D12:$O12)))</f>
        <v/>
      </c>
      <c r="K12" s="38">
        <f>IF(SUMPRODUCT(('Matriz Criterios'!$H$14:$S$14="X")*ISNUMBER('Registro Notas'!$D12:$O12))=0, "-", SUMPRODUCT(('Matriz Criterios'!$H$14:$S$14="X")*ISNUMBER('Registro Notas'!$D12:$O12)*'Registro Notas'!$D12:$O12)/SUMPRODUCT(('Matriz Criterios'!$H$14:$S$14="X")*ISNUMBER('Registro Notas'!$D12:$O12)))</f>
        <v/>
      </c>
      <c r="L12" s="38">
        <f>IF(SUMPRODUCT(('Matriz Criterios'!$H$15:$S$15="X")*ISNUMBER('Registro Notas'!$D12:$O12))=0, "-", SUMPRODUCT(('Matriz Criterios'!$H$15:$S$15="X")*ISNUMBER('Registro Notas'!$D12:$O12)*'Registro Notas'!$D12:$O12)/SUMPRODUCT(('Matriz Criterios'!$H$15:$S$15="X")*ISNUMBER('Registro Notas'!$D12:$O12)))</f>
        <v/>
      </c>
      <c r="M12" s="38">
        <f>IF(SUMPRODUCT(('Matriz Criterios'!$H$16:$S$16="X")*ISNUMBER('Registro Notas'!$D12:$O12))=0, "-", SUMPRODUCT(('Matriz Criterios'!$H$16:$S$16="X")*ISNUMBER('Registro Notas'!$D12:$O12)*'Registro Notas'!$D12:$O12)/SUMPRODUCT(('Matriz Criterios'!$H$16:$S$16="X")*ISNUMBER('Registro Notas'!$D12:$O12)))</f>
        <v/>
      </c>
      <c r="N12" s="38">
        <f>IF(SUMPRODUCT(('Matriz Criterios'!$H$17:$S$17="X")*ISNUMBER('Registro Notas'!$D12:$O12))=0, "-", SUMPRODUCT(('Matriz Criterios'!$H$17:$S$17="X")*ISNUMBER('Registro Notas'!$D12:$O12)*'Registro Notas'!$D12:$O12)/SUMPRODUCT(('Matriz Criterios'!$H$17:$S$17="X")*ISNUMBER('Registro Notas'!$D12:$O12)))</f>
        <v/>
      </c>
      <c r="O12" s="38">
        <f>IF(SUMPRODUCT(('Matriz Criterios'!$H$18:$S$18="X")*ISNUMBER('Registro Notas'!$D12:$O12))=0, "-", SUMPRODUCT(('Matriz Criterios'!$H$18:$S$18="X")*ISNUMBER('Registro Notas'!$D12:$O12)*'Registro Notas'!$D12:$O12)/SUMPRODUCT(('Matriz Criterios'!$H$18:$S$18="X")*ISNUMBER('Registro Notas'!$D12:$O12)))</f>
        <v/>
      </c>
      <c r="P12" s="38">
        <f>IF(SUMPRODUCT(('Matriz Criterios'!$H$19:$S$19="X")*ISNUMBER('Registro Notas'!$D12:$O12))=0, "-", SUMPRODUCT(('Matriz Criterios'!$H$19:$S$19="X")*ISNUMBER('Registro Notas'!$D12:$O12)*'Registro Notas'!$D12:$O12)/SUMPRODUCT(('Matriz Criterios'!$H$19:$S$19="X")*ISNUMBER('Registro Notas'!$D12:$O12)))</f>
        <v/>
      </c>
      <c r="Q12" s="38">
        <f>IF(SUMPRODUCT(('Matriz Criterios'!$H$20:$S$20="X")*ISNUMBER('Registro Notas'!$D12:$O12))=0, "-", SUMPRODUCT(('Matriz Criterios'!$H$20:$S$20="X")*ISNUMBER('Registro Notas'!$D12:$O12)*'Registro Notas'!$D12:$O12)/SUMPRODUCT(('Matriz Criterios'!$H$20:$S$20="X")*ISNUMBER('Registro Notas'!$D12:$O12)))</f>
        <v/>
      </c>
      <c r="R12" s="38">
        <f>IF(SUMPRODUCT(('Matriz Criterios'!$H$21:$S$21="X")*ISNUMBER('Registro Notas'!$D12:$O12))=0, "-", SUMPRODUCT(('Matriz Criterios'!$H$21:$S$21="X")*ISNUMBER('Registro Notas'!$D12:$O12)*'Registro Notas'!$D12:$O12)/SUMPRODUCT(('Matriz Criterios'!$H$21:$S$21="X")*ISNUMBER('Registro Notas'!$D12:$O12)))</f>
        <v/>
      </c>
      <c r="S12" s="38">
        <f>IF(SUMPRODUCT(('Matriz Criterios'!$H$22:$S$22="X")*ISNUMBER('Registro Notas'!$D12:$O12))=0, "-", SUMPRODUCT(('Matriz Criterios'!$H$22:$S$22="X")*ISNUMBER('Registro Notas'!$D12:$O12)*'Registro Notas'!$D12:$O12)/SUMPRODUCT(('Matriz Criterios'!$H$22:$S$22="X")*ISNUMBER('Registro Notas'!$D12:$O12)))</f>
        <v/>
      </c>
      <c r="T12" s="38">
        <f>IF(SUMPRODUCT(('Matriz Criterios'!$H$23:$S$23="X")*ISNUMBER('Registro Notas'!$D12:$O12))=0, "-", SUMPRODUCT(('Matriz Criterios'!$H$23:$S$23="X")*ISNUMBER('Registro Notas'!$D12:$O12)*'Registro Notas'!$D12:$O12)/SUMPRODUCT(('Matriz Criterios'!$H$23:$S$23="X")*ISNUMBER('Registro Notas'!$D12:$O12)))</f>
        <v/>
      </c>
      <c r="U12" s="38">
        <f>IF(SUMPRODUCT(('Matriz Criterios'!$H$24:$S$24="X")*ISNUMBER('Registro Notas'!$D12:$O12))=0, "-", SUMPRODUCT(('Matriz Criterios'!$H$24:$S$24="X")*ISNUMBER('Registro Notas'!$D12:$O12)*'Registro Notas'!$D12:$O12)/SUMPRODUCT(('Matriz Criterios'!$H$24:$S$24="X")*ISNUMBER('Registro Notas'!$D12:$O12)))</f>
        <v/>
      </c>
      <c r="V12" s="38">
        <f>IF(SUMPRODUCT(('Matriz Criterios'!$H$25:$S$25="X")*ISNUMBER('Registro Notas'!$D12:$O12))=0, "-", SUMPRODUCT(('Matriz Criterios'!$H$25:$S$25="X")*ISNUMBER('Registro Notas'!$D12:$O12)*'Registro Notas'!$D12:$O12)/SUMPRODUCT(('Matriz Criterios'!$H$25:$S$25="X")*ISNUMBER('Registro Notas'!$D12:$O12)))</f>
        <v/>
      </c>
      <c r="W12" s="38">
        <f>IF(SUMPRODUCT(('Matriz Criterios'!$H$26:$S$26="X")*ISNUMBER('Registro Notas'!$D12:$O12))=0, "-", SUMPRODUCT(('Matriz Criterios'!$H$26:$S$26="X")*ISNUMBER('Registro Notas'!$D12:$O12)*'Registro Notas'!$D12:$O12)/SUMPRODUCT(('Matriz Criterios'!$H$26:$S$26="X")*ISNUMBER('Registro Notas'!$D12:$O12)))</f>
        <v/>
      </c>
      <c r="X12" s="38">
        <f>IF(SUMPRODUCT(('Matriz Criterios'!$H$27:$S$27="X")*ISNUMBER('Registro Notas'!$D12:$O12))=0, "-", SUMPRODUCT(('Matriz Criterios'!$H$27:$S$27="X")*ISNUMBER('Registro Notas'!$D12:$O12)*'Registro Notas'!$D12:$O12)/SUMPRODUCT(('Matriz Criterios'!$H$27:$S$27="X")*ISNUMBER('Registro Notas'!$D12:$O12)))</f>
        <v/>
      </c>
      <c r="Y12" s="38">
        <f>IF(SUMPRODUCT(('Matriz Criterios'!$H$28:$S$28="X")*ISNUMBER('Registro Notas'!$D12:$O12))=0, "-", SUMPRODUCT(('Matriz Criterios'!$H$28:$S$28="X")*ISNUMBER('Registro Notas'!$D12:$O12)*'Registro Notas'!$D12:$O12)/SUMPRODUCT(('Matriz Criterios'!$H$28:$S$28="X")*ISNUMBER('Registro Notas'!$D12:$O12)))</f>
        <v/>
      </c>
      <c r="Z12" s="38">
        <f>IF(SUMPRODUCT(('Matriz Criterios'!$H$29:$S$29="X")*ISNUMBER('Registro Notas'!$D12:$O12))=0, "-", SUMPRODUCT(('Matriz Criterios'!$H$29:$S$29="X")*ISNUMBER('Registro Notas'!$D12:$O12)*'Registro Notas'!$D12:$O12)/SUMPRODUCT(('Matriz Criterios'!$H$29:$S$29="X")*ISNUMBER('Registro Notas'!$D12:$O12)))</f>
        <v/>
      </c>
      <c r="AA12" s="38">
        <f>IF(SUMPRODUCT(('Matriz Criterios'!$H$30:$S$30="X")*ISNUMBER('Registro Notas'!$D12:$O12))=0, "-", SUMPRODUCT(('Matriz Criterios'!$H$30:$S$30="X")*ISNUMBER('Registro Notas'!$D12:$O12)*'Registro Notas'!$D12:$O12)/SUMPRODUCT(('Matriz Criterios'!$H$30:$S$30="X")*ISNUMBER('Registro Notas'!$D12:$O12)))</f>
        <v/>
      </c>
      <c r="AB12" s="38">
        <f>IF(SUMPRODUCT(('Matriz Criterios'!$H$31:$S$31="X")*ISNUMBER('Registro Notas'!$D12:$O12))=0, "-", SUMPRODUCT(('Matriz Criterios'!$H$31:$S$31="X")*ISNUMBER('Registro Notas'!$D12:$O12)*'Registro Notas'!$D12:$O12)/SUMPRODUCT(('Matriz Criterios'!$H$31:$S$31="X")*ISNUMBER('Registro Notas'!$D12:$O12)))</f>
        <v/>
      </c>
      <c r="AC12" s="38">
        <f>IF(SUMPRODUCT(('Matriz Criterios'!$H$32:$S$32="X")*ISNUMBER('Registro Notas'!$D12:$O12))=0, "-", SUMPRODUCT(('Matriz Criterios'!$H$32:$S$32="X")*ISNUMBER('Registro Notas'!$D12:$O12)*'Registro Notas'!$D12:$O12)/SUMPRODUCT(('Matriz Criterios'!$H$32:$S$32="X")*ISNUMBER('Registro Notas'!$D12:$O12)))</f>
        <v/>
      </c>
      <c r="AD12" s="38">
        <f>IF(SUMPRODUCT(('Matriz Criterios'!$H$33:$S$33="X")*ISNUMBER('Registro Notas'!$D12:$O12))=0, "-", SUMPRODUCT(('Matriz Criterios'!$H$33:$S$33="X")*ISNUMBER('Registro Notas'!$D12:$O12)*'Registro Notas'!$D12:$O12)/SUMPRODUCT(('Matriz Criterios'!$H$33:$S$33="X")*ISNUMBER('Registro Notas'!$D12:$O12)))</f>
        <v/>
      </c>
      <c r="AE12" s="38">
        <f>IF(SUMPRODUCT(('Matriz Criterios'!$H$34:$S$34="X")*ISNUMBER('Registro Notas'!$D12:$O12))=0, "-", SUMPRODUCT(('Matriz Criterios'!$H$34:$S$34="X")*ISNUMBER('Registro Notas'!$D12:$O12)*'Registro Notas'!$D12:$O12)/SUMPRODUCT(('Matriz Criterios'!$H$34:$S$34="X")*ISNUMBER('Registro Notas'!$D12:$O12)))</f>
        <v/>
      </c>
      <c r="AF12" s="38">
        <f>IF(SUMPRODUCT(('Matriz Criterios'!$H$35:$S$35="X")*ISNUMBER('Registro Notas'!$D12:$O12))=0, "-", SUMPRODUCT(('Matriz Criterios'!$H$35:$S$35="X")*ISNUMBER('Registro Notas'!$D12:$O12)*'Registro Notas'!$D12:$O12)/SUMPRODUCT(('Matriz Criterios'!$H$35:$S$35="X")*ISNUMBER('Registro Notas'!$D12:$O12)))</f>
        <v/>
      </c>
      <c r="AG12" s="38">
        <f>IF(SUMPRODUCT(('Matriz Criterios'!$H$36:$S$36="X")*ISNUMBER('Registro Notas'!$D12:$O12))=0, "-", SUMPRODUCT(('Matriz Criterios'!$H$36:$S$36="X")*ISNUMBER('Registro Notas'!$D12:$O12)*'Registro Notas'!$D12:$O12)/SUMPRODUCT(('Matriz Criterios'!$H$36:$S$36="X")*ISNUMBER('Registro Notas'!$D12:$O12)))</f>
        <v/>
      </c>
      <c r="AH12" s="38">
        <f>IF(SUMPRODUCT(('Matriz Criterios'!$H$37:$S$37="X")*ISNUMBER('Registro Notas'!$D12:$O12))=0, "-", SUMPRODUCT(('Matriz Criterios'!$H$37:$S$37="X")*ISNUMBER('Registro Notas'!$D12:$O12)*'Registro Notas'!$D12:$O12)/SUMPRODUCT(('Matriz Criterios'!$H$37:$S$37="X")*ISNUMBER('Registro Notas'!$D12:$O12)))</f>
        <v/>
      </c>
      <c r="AI12" s="38">
        <f>IF(SUMPRODUCT(('Matriz Criterios'!$H$38:$S$38="X")*ISNUMBER('Registro Notas'!$D12:$O12))=0, "-", SUMPRODUCT(('Matriz Criterios'!$H$38:$S$38="X")*ISNUMBER('Registro Notas'!$D12:$O12)*'Registro Notas'!$D12:$O12)/SUMPRODUCT(('Matriz Criterios'!$H$38:$S$38="X")*ISNUMBER('Registro Notas'!$D12:$O12)))</f>
        <v/>
      </c>
      <c r="AJ12" s="38">
        <f>IF(SUMPRODUCT(('Matriz Criterios'!$H$39:$S$39="X")*ISNUMBER('Registro Notas'!$D12:$O12))=0, "-", SUMPRODUCT(('Matriz Criterios'!$H$39:$S$39="X")*ISNUMBER('Registro Notas'!$D12:$O12)*'Registro Notas'!$D12:$O12)/SUMPRODUCT(('Matriz Criterios'!$H$39:$S$39="X")*ISNUMBER('Registro Notas'!$D12:$O12)))</f>
        <v/>
      </c>
      <c r="AK12" s="42">
        <f>AVERAGE(C12:AJ12)</f>
        <v/>
      </c>
      <c r="AL12" s="53">
        <f>COUNTIF(C12:AJ12, "&gt;=5")</f>
        <v/>
      </c>
    </row>
    <row r="13" ht="20" customHeight="1">
      <c r="A13" s="22" t="n">
        <v>8</v>
      </c>
      <c r="B13" s="43" t="inlineStr">
        <is>
          <t>Jiménez Ortiz, Pablo</t>
        </is>
      </c>
      <c r="C13" s="44">
        <f>IF(SUMPRODUCT(('Matriz Criterios'!$H$6:$S$6="X")*ISNUMBER('Registro Notas'!$D13:$O13))=0, "-", SUMPRODUCT(('Matriz Criterios'!$H$6:$S$6="X")*ISNUMBER('Registro Notas'!$D13:$O13)*'Registro Notas'!$D13:$O13)/SUMPRODUCT(('Matriz Criterios'!$H$6:$S$6="X")*ISNUMBER('Registro Notas'!$D13:$O13)))</f>
        <v/>
      </c>
      <c r="D13" s="44">
        <f>IF(SUMPRODUCT(('Matriz Criterios'!$H$7:$S$7="X")*ISNUMBER('Registro Notas'!$D13:$O13))=0, "-", SUMPRODUCT(('Matriz Criterios'!$H$7:$S$7="X")*ISNUMBER('Registro Notas'!$D13:$O13)*'Registro Notas'!$D13:$O13)/SUMPRODUCT(('Matriz Criterios'!$H$7:$S$7="X")*ISNUMBER('Registro Notas'!$D13:$O13)))</f>
        <v/>
      </c>
      <c r="E13" s="44">
        <f>IF(SUMPRODUCT(('Matriz Criterios'!$H$8:$S$8="X")*ISNUMBER('Registro Notas'!$D13:$O13))=0, "-", SUMPRODUCT(('Matriz Criterios'!$H$8:$S$8="X")*ISNUMBER('Registro Notas'!$D13:$O13)*'Registro Notas'!$D13:$O13)/SUMPRODUCT(('Matriz Criterios'!$H$8:$S$8="X")*ISNUMBER('Registro Notas'!$D13:$O13)))</f>
        <v/>
      </c>
      <c r="F13" s="44">
        <f>IF(SUMPRODUCT(('Matriz Criterios'!$H$9:$S$9="X")*ISNUMBER('Registro Notas'!$D13:$O13))=0, "-", SUMPRODUCT(('Matriz Criterios'!$H$9:$S$9="X")*ISNUMBER('Registro Notas'!$D13:$O13)*'Registro Notas'!$D13:$O13)/SUMPRODUCT(('Matriz Criterios'!$H$9:$S$9="X")*ISNUMBER('Registro Notas'!$D13:$O13)))</f>
        <v/>
      </c>
      <c r="G13" s="44">
        <f>IF(SUMPRODUCT(('Matriz Criterios'!$H$10:$S$10="X")*ISNUMBER('Registro Notas'!$D13:$O13))=0, "-", SUMPRODUCT(('Matriz Criterios'!$H$10:$S$10="X")*ISNUMBER('Registro Notas'!$D13:$O13)*'Registro Notas'!$D13:$O13)/SUMPRODUCT(('Matriz Criterios'!$H$10:$S$10="X")*ISNUMBER('Registro Notas'!$D13:$O13)))</f>
        <v/>
      </c>
      <c r="H13" s="44">
        <f>IF(SUMPRODUCT(('Matriz Criterios'!$H$11:$S$11="X")*ISNUMBER('Registro Notas'!$D13:$O13))=0, "-", SUMPRODUCT(('Matriz Criterios'!$H$11:$S$11="X")*ISNUMBER('Registro Notas'!$D13:$O13)*'Registro Notas'!$D13:$O13)/SUMPRODUCT(('Matriz Criterios'!$H$11:$S$11="X")*ISNUMBER('Registro Notas'!$D13:$O13)))</f>
        <v/>
      </c>
      <c r="I13" s="44">
        <f>IF(SUMPRODUCT(('Matriz Criterios'!$H$12:$S$12="X")*ISNUMBER('Registro Notas'!$D13:$O13))=0, "-", SUMPRODUCT(('Matriz Criterios'!$H$12:$S$12="X")*ISNUMBER('Registro Notas'!$D13:$O13)*'Registro Notas'!$D13:$O13)/SUMPRODUCT(('Matriz Criterios'!$H$12:$S$12="X")*ISNUMBER('Registro Notas'!$D13:$O13)))</f>
        <v/>
      </c>
      <c r="J13" s="44">
        <f>IF(SUMPRODUCT(('Matriz Criterios'!$H$13:$S$13="X")*ISNUMBER('Registro Notas'!$D13:$O13))=0, "-", SUMPRODUCT(('Matriz Criterios'!$H$13:$S$13="X")*ISNUMBER('Registro Notas'!$D13:$O13)*'Registro Notas'!$D13:$O13)/SUMPRODUCT(('Matriz Criterios'!$H$13:$S$13="X")*ISNUMBER('Registro Notas'!$D13:$O13)))</f>
        <v/>
      </c>
      <c r="K13" s="44">
        <f>IF(SUMPRODUCT(('Matriz Criterios'!$H$14:$S$14="X")*ISNUMBER('Registro Notas'!$D13:$O13))=0, "-", SUMPRODUCT(('Matriz Criterios'!$H$14:$S$14="X")*ISNUMBER('Registro Notas'!$D13:$O13)*'Registro Notas'!$D13:$O13)/SUMPRODUCT(('Matriz Criterios'!$H$14:$S$14="X")*ISNUMBER('Registro Notas'!$D13:$O13)))</f>
        <v/>
      </c>
      <c r="L13" s="44">
        <f>IF(SUMPRODUCT(('Matriz Criterios'!$H$15:$S$15="X")*ISNUMBER('Registro Notas'!$D13:$O13))=0, "-", SUMPRODUCT(('Matriz Criterios'!$H$15:$S$15="X")*ISNUMBER('Registro Notas'!$D13:$O13)*'Registro Notas'!$D13:$O13)/SUMPRODUCT(('Matriz Criterios'!$H$15:$S$15="X")*ISNUMBER('Registro Notas'!$D13:$O13)))</f>
        <v/>
      </c>
      <c r="M13" s="44">
        <f>IF(SUMPRODUCT(('Matriz Criterios'!$H$16:$S$16="X")*ISNUMBER('Registro Notas'!$D13:$O13))=0, "-", SUMPRODUCT(('Matriz Criterios'!$H$16:$S$16="X")*ISNUMBER('Registro Notas'!$D13:$O13)*'Registro Notas'!$D13:$O13)/SUMPRODUCT(('Matriz Criterios'!$H$16:$S$16="X")*ISNUMBER('Registro Notas'!$D13:$O13)))</f>
        <v/>
      </c>
      <c r="N13" s="44">
        <f>IF(SUMPRODUCT(('Matriz Criterios'!$H$17:$S$17="X")*ISNUMBER('Registro Notas'!$D13:$O13))=0, "-", SUMPRODUCT(('Matriz Criterios'!$H$17:$S$17="X")*ISNUMBER('Registro Notas'!$D13:$O13)*'Registro Notas'!$D13:$O13)/SUMPRODUCT(('Matriz Criterios'!$H$17:$S$17="X")*ISNUMBER('Registro Notas'!$D13:$O13)))</f>
        <v/>
      </c>
      <c r="O13" s="44">
        <f>IF(SUMPRODUCT(('Matriz Criterios'!$H$18:$S$18="X")*ISNUMBER('Registro Notas'!$D13:$O13))=0, "-", SUMPRODUCT(('Matriz Criterios'!$H$18:$S$18="X")*ISNUMBER('Registro Notas'!$D13:$O13)*'Registro Notas'!$D13:$O13)/SUMPRODUCT(('Matriz Criterios'!$H$18:$S$18="X")*ISNUMBER('Registro Notas'!$D13:$O13)))</f>
        <v/>
      </c>
      <c r="P13" s="44">
        <f>IF(SUMPRODUCT(('Matriz Criterios'!$H$19:$S$19="X")*ISNUMBER('Registro Notas'!$D13:$O13))=0, "-", SUMPRODUCT(('Matriz Criterios'!$H$19:$S$19="X")*ISNUMBER('Registro Notas'!$D13:$O13)*'Registro Notas'!$D13:$O13)/SUMPRODUCT(('Matriz Criterios'!$H$19:$S$19="X")*ISNUMBER('Registro Notas'!$D13:$O13)))</f>
        <v/>
      </c>
      <c r="Q13" s="44">
        <f>IF(SUMPRODUCT(('Matriz Criterios'!$H$20:$S$20="X")*ISNUMBER('Registro Notas'!$D13:$O13))=0, "-", SUMPRODUCT(('Matriz Criterios'!$H$20:$S$20="X")*ISNUMBER('Registro Notas'!$D13:$O13)*'Registro Notas'!$D13:$O13)/SUMPRODUCT(('Matriz Criterios'!$H$20:$S$20="X")*ISNUMBER('Registro Notas'!$D13:$O13)))</f>
        <v/>
      </c>
      <c r="R13" s="44">
        <f>IF(SUMPRODUCT(('Matriz Criterios'!$H$21:$S$21="X")*ISNUMBER('Registro Notas'!$D13:$O13))=0, "-", SUMPRODUCT(('Matriz Criterios'!$H$21:$S$21="X")*ISNUMBER('Registro Notas'!$D13:$O13)*'Registro Notas'!$D13:$O13)/SUMPRODUCT(('Matriz Criterios'!$H$21:$S$21="X")*ISNUMBER('Registro Notas'!$D13:$O13)))</f>
        <v/>
      </c>
      <c r="S13" s="44">
        <f>IF(SUMPRODUCT(('Matriz Criterios'!$H$22:$S$22="X")*ISNUMBER('Registro Notas'!$D13:$O13))=0, "-", SUMPRODUCT(('Matriz Criterios'!$H$22:$S$22="X")*ISNUMBER('Registro Notas'!$D13:$O13)*'Registro Notas'!$D13:$O13)/SUMPRODUCT(('Matriz Criterios'!$H$22:$S$22="X")*ISNUMBER('Registro Notas'!$D13:$O13)))</f>
        <v/>
      </c>
      <c r="T13" s="44">
        <f>IF(SUMPRODUCT(('Matriz Criterios'!$H$23:$S$23="X")*ISNUMBER('Registro Notas'!$D13:$O13))=0, "-", SUMPRODUCT(('Matriz Criterios'!$H$23:$S$23="X")*ISNUMBER('Registro Notas'!$D13:$O13)*'Registro Notas'!$D13:$O13)/SUMPRODUCT(('Matriz Criterios'!$H$23:$S$23="X")*ISNUMBER('Registro Notas'!$D13:$O13)))</f>
        <v/>
      </c>
      <c r="U13" s="44">
        <f>IF(SUMPRODUCT(('Matriz Criterios'!$H$24:$S$24="X")*ISNUMBER('Registro Notas'!$D13:$O13))=0, "-", SUMPRODUCT(('Matriz Criterios'!$H$24:$S$24="X")*ISNUMBER('Registro Notas'!$D13:$O13)*'Registro Notas'!$D13:$O13)/SUMPRODUCT(('Matriz Criterios'!$H$24:$S$24="X")*ISNUMBER('Registro Notas'!$D13:$O13)))</f>
        <v/>
      </c>
      <c r="V13" s="44">
        <f>IF(SUMPRODUCT(('Matriz Criterios'!$H$25:$S$25="X")*ISNUMBER('Registro Notas'!$D13:$O13))=0, "-", SUMPRODUCT(('Matriz Criterios'!$H$25:$S$25="X")*ISNUMBER('Registro Notas'!$D13:$O13)*'Registro Notas'!$D13:$O13)/SUMPRODUCT(('Matriz Criterios'!$H$25:$S$25="X")*ISNUMBER('Registro Notas'!$D13:$O13)))</f>
        <v/>
      </c>
      <c r="W13" s="44">
        <f>IF(SUMPRODUCT(('Matriz Criterios'!$H$26:$S$26="X")*ISNUMBER('Registro Notas'!$D13:$O13))=0, "-", SUMPRODUCT(('Matriz Criterios'!$H$26:$S$26="X")*ISNUMBER('Registro Notas'!$D13:$O13)*'Registro Notas'!$D13:$O13)/SUMPRODUCT(('Matriz Criterios'!$H$26:$S$26="X")*ISNUMBER('Registro Notas'!$D13:$O13)))</f>
        <v/>
      </c>
      <c r="X13" s="44">
        <f>IF(SUMPRODUCT(('Matriz Criterios'!$H$27:$S$27="X")*ISNUMBER('Registro Notas'!$D13:$O13))=0, "-", SUMPRODUCT(('Matriz Criterios'!$H$27:$S$27="X")*ISNUMBER('Registro Notas'!$D13:$O13)*'Registro Notas'!$D13:$O13)/SUMPRODUCT(('Matriz Criterios'!$H$27:$S$27="X")*ISNUMBER('Registro Notas'!$D13:$O13)))</f>
        <v/>
      </c>
      <c r="Y13" s="44">
        <f>IF(SUMPRODUCT(('Matriz Criterios'!$H$28:$S$28="X")*ISNUMBER('Registro Notas'!$D13:$O13))=0, "-", SUMPRODUCT(('Matriz Criterios'!$H$28:$S$28="X")*ISNUMBER('Registro Notas'!$D13:$O13)*'Registro Notas'!$D13:$O13)/SUMPRODUCT(('Matriz Criterios'!$H$28:$S$28="X")*ISNUMBER('Registro Notas'!$D13:$O13)))</f>
        <v/>
      </c>
      <c r="Z13" s="44">
        <f>IF(SUMPRODUCT(('Matriz Criterios'!$H$29:$S$29="X")*ISNUMBER('Registro Notas'!$D13:$O13))=0, "-", SUMPRODUCT(('Matriz Criterios'!$H$29:$S$29="X")*ISNUMBER('Registro Notas'!$D13:$O13)*'Registro Notas'!$D13:$O13)/SUMPRODUCT(('Matriz Criterios'!$H$29:$S$29="X")*ISNUMBER('Registro Notas'!$D13:$O13)))</f>
        <v/>
      </c>
      <c r="AA13" s="44">
        <f>IF(SUMPRODUCT(('Matriz Criterios'!$H$30:$S$30="X")*ISNUMBER('Registro Notas'!$D13:$O13))=0, "-", SUMPRODUCT(('Matriz Criterios'!$H$30:$S$30="X")*ISNUMBER('Registro Notas'!$D13:$O13)*'Registro Notas'!$D13:$O13)/SUMPRODUCT(('Matriz Criterios'!$H$30:$S$30="X")*ISNUMBER('Registro Notas'!$D13:$O13)))</f>
        <v/>
      </c>
      <c r="AB13" s="44">
        <f>IF(SUMPRODUCT(('Matriz Criterios'!$H$31:$S$31="X")*ISNUMBER('Registro Notas'!$D13:$O13))=0, "-", SUMPRODUCT(('Matriz Criterios'!$H$31:$S$31="X")*ISNUMBER('Registro Notas'!$D13:$O13)*'Registro Notas'!$D13:$O13)/SUMPRODUCT(('Matriz Criterios'!$H$31:$S$31="X")*ISNUMBER('Registro Notas'!$D13:$O13)))</f>
        <v/>
      </c>
      <c r="AC13" s="44">
        <f>IF(SUMPRODUCT(('Matriz Criterios'!$H$32:$S$32="X")*ISNUMBER('Registro Notas'!$D13:$O13))=0, "-", SUMPRODUCT(('Matriz Criterios'!$H$32:$S$32="X")*ISNUMBER('Registro Notas'!$D13:$O13)*'Registro Notas'!$D13:$O13)/SUMPRODUCT(('Matriz Criterios'!$H$32:$S$32="X")*ISNUMBER('Registro Notas'!$D13:$O13)))</f>
        <v/>
      </c>
      <c r="AD13" s="44">
        <f>IF(SUMPRODUCT(('Matriz Criterios'!$H$33:$S$33="X")*ISNUMBER('Registro Notas'!$D13:$O13))=0, "-", SUMPRODUCT(('Matriz Criterios'!$H$33:$S$33="X")*ISNUMBER('Registro Notas'!$D13:$O13)*'Registro Notas'!$D13:$O13)/SUMPRODUCT(('Matriz Criterios'!$H$33:$S$33="X")*ISNUMBER('Registro Notas'!$D13:$O13)))</f>
        <v/>
      </c>
      <c r="AE13" s="44">
        <f>IF(SUMPRODUCT(('Matriz Criterios'!$H$34:$S$34="X")*ISNUMBER('Registro Notas'!$D13:$O13))=0, "-", SUMPRODUCT(('Matriz Criterios'!$H$34:$S$34="X")*ISNUMBER('Registro Notas'!$D13:$O13)*'Registro Notas'!$D13:$O13)/SUMPRODUCT(('Matriz Criterios'!$H$34:$S$34="X")*ISNUMBER('Registro Notas'!$D13:$O13)))</f>
        <v/>
      </c>
      <c r="AF13" s="44">
        <f>IF(SUMPRODUCT(('Matriz Criterios'!$H$35:$S$35="X")*ISNUMBER('Registro Notas'!$D13:$O13))=0, "-", SUMPRODUCT(('Matriz Criterios'!$H$35:$S$35="X")*ISNUMBER('Registro Notas'!$D13:$O13)*'Registro Notas'!$D13:$O13)/SUMPRODUCT(('Matriz Criterios'!$H$35:$S$35="X")*ISNUMBER('Registro Notas'!$D13:$O13)))</f>
        <v/>
      </c>
      <c r="AG13" s="44">
        <f>IF(SUMPRODUCT(('Matriz Criterios'!$H$36:$S$36="X")*ISNUMBER('Registro Notas'!$D13:$O13))=0, "-", SUMPRODUCT(('Matriz Criterios'!$H$36:$S$36="X")*ISNUMBER('Registro Notas'!$D13:$O13)*'Registro Notas'!$D13:$O13)/SUMPRODUCT(('Matriz Criterios'!$H$36:$S$36="X")*ISNUMBER('Registro Notas'!$D13:$O13)))</f>
        <v/>
      </c>
      <c r="AH13" s="44">
        <f>IF(SUMPRODUCT(('Matriz Criterios'!$H$37:$S$37="X")*ISNUMBER('Registro Notas'!$D13:$O13))=0, "-", SUMPRODUCT(('Matriz Criterios'!$H$37:$S$37="X")*ISNUMBER('Registro Notas'!$D13:$O13)*'Registro Notas'!$D13:$O13)/SUMPRODUCT(('Matriz Criterios'!$H$37:$S$37="X")*ISNUMBER('Registro Notas'!$D13:$O13)))</f>
        <v/>
      </c>
      <c r="AI13" s="44">
        <f>IF(SUMPRODUCT(('Matriz Criterios'!$H$38:$S$38="X")*ISNUMBER('Registro Notas'!$D13:$O13))=0, "-", SUMPRODUCT(('Matriz Criterios'!$H$38:$S$38="X")*ISNUMBER('Registro Notas'!$D13:$O13)*'Registro Notas'!$D13:$O13)/SUMPRODUCT(('Matriz Criterios'!$H$38:$S$38="X")*ISNUMBER('Registro Notas'!$D13:$O13)))</f>
        <v/>
      </c>
      <c r="AJ13" s="44">
        <f>IF(SUMPRODUCT(('Matriz Criterios'!$H$39:$S$39="X")*ISNUMBER('Registro Notas'!$D13:$O13))=0, "-", SUMPRODUCT(('Matriz Criterios'!$H$39:$S$39="X")*ISNUMBER('Registro Notas'!$D13:$O13)*'Registro Notas'!$D13:$O13)/SUMPRODUCT(('Matriz Criterios'!$H$39:$S$39="X")*ISNUMBER('Registro Notas'!$D13:$O13)))</f>
        <v/>
      </c>
      <c r="AK13" s="42">
        <f>AVERAGE(C13:AJ13)</f>
        <v/>
      </c>
      <c r="AL13" s="53">
        <f>COUNTIF(C13:AJ13, "&gt;=5")</f>
        <v/>
      </c>
    </row>
    <row r="14" ht="20" customHeight="1">
      <c r="A14" s="15" t="n">
        <v>9</v>
      </c>
      <c r="B14" s="37" t="inlineStr">
        <is>
          <t>López Molina, Sara</t>
        </is>
      </c>
      <c r="C14" s="38">
        <f>IF(SUMPRODUCT(('Matriz Criterios'!$H$6:$S$6="X")*ISNUMBER('Registro Notas'!$D14:$O14))=0, "-", SUMPRODUCT(('Matriz Criterios'!$H$6:$S$6="X")*ISNUMBER('Registro Notas'!$D14:$O14)*'Registro Notas'!$D14:$O14)/SUMPRODUCT(('Matriz Criterios'!$H$6:$S$6="X")*ISNUMBER('Registro Notas'!$D14:$O14)))</f>
        <v/>
      </c>
      <c r="D14" s="38">
        <f>IF(SUMPRODUCT(('Matriz Criterios'!$H$7:$S$7="X")*ISNUMBER('Registro Notas'!$D14:$O14))=0, "-", SUMPRODUCT(('Matriz Criterios'!$H$7:$S$7="X")*ISNUMBER('Registro Notas'!$D14:$O14)*'Registro Notas'!$D14:$O14)/SUMPRODUCT(('Matriz Criterios'!$H$7:$S$7="X")*ISNUMBER('Registro Notas'!$D14:$O14)))</f>
        <v/>
      </c>
      <c r="E14" s="38">
        <f>IF(SUMPRODUCT(('Matriz Criterios'!$H$8:$S$8="X")*ISNUMBER('Registro Notas'!$D14:$O14))=0, "-", SUMPRODUCT(('Matriz Criterios'!$H$8:$S$8="X")*ISNUMBER('Registro Notas'!$D14:$O14)*'Registro Notas'!$D14:$O14)/SUMPRODUCT(('Matriz Criterios'!$H$8:$S$8="X")*ISNUMBER('Registro Notas'!$D14:$O14)))</f>
        <v/>
      </c>
      <c r="F14" s="38">
        <f>IF(SUMPRODUCT(('Matriz Criterios'!$H$9:$S$9="X")*ISNUMBER('Registro Notas'!$D14:$O14))=0, "-", SUMPRODUCT(('Matriz Criterios'!$H$9:$S$9="X")*ISNUMBER('Registro Notas'!$D14:$O14)*'Registro Notas'!$D14:$O14)/SUMPRODUCT(('Matriz Criterios'!$H$9:$S$9="X")*ISNUMBER('Registro Notas'!$D14:$O14)))</f>
        <v/>
      </c>
      <c r="G14" s="38">
        <f>IF(SUMPRODUCT(('Matriz Criterios'!$H$10:$S$10="X")*ISNUMBER('Registro Notas'!$D14:$O14))=0, "-", SUMPRODUCT(('Matriz Criterios'!$H$10:$S$10="X")*ISNUMBER('Registro Notas'!$D14:$O14)*'Registro Notas'!$D14:$O14)/SUMPRODUCT(('Matriz Criterios'!$H$10:$S$10="X")*ISNUMBER('Registro Notas'!$D14:$O14)))</f>
        <v/>
      </c>
      <c r="H14" s="38">
        <f>IF(SUMPRODUCT(('Matriz Criterios'!$H$11:$S$11="X")*ISNUMBER('Registro Notas'!$D14:$O14))=0, "-", SUMPRODUCT(('Matriz Criterios'!$H$11:$S$11="X")*ISNUMBER('Registro Notas'!$D14:$O14)*'Registro Notas'!$D14:$O14)/SUMPRODUCT(('Matriz Criterios'!$H$11:$S$11="X")*ISNUMBER('Registro Notas'!$D14:$O14)))</f>
        <v/>
      </c>
      <c r="I14" s="38">
        <f>IF(SUMPRODUCT(('Matriz Criterios'!$H$12:$S$12="X")*ISNUMBER('Registro Notas'!$D14:$O14))=0, "-", SUMPRODUCT(('Matriz Criterios'!$H$12:$S$12="X")*ISNUMBER('Registro Notas'!$D14:$O14)*'Registro Notas'!$D14:$O14)/SUMPRODUCT(('Matriz Criterios'!$H$12:$S$12="X")*ISNUMBER('Registro Notas'!$D14:$O14)))</f>
        <v/>
      </c>
      <c r="J14" s="38">
        <f>IF(SUMPRODUCT(('Matriz Criterios'!$H$13:$S$13="X")*ISNUMBER('Registro Notas'!$D14:$O14))=0, "-", SUMPRODUCT(('Matriz Criterios'!$H$13:$S$13="X")*ISNUMBER('Registro Notas'!$D14:$O14)*'Registro Notas'!$D14:$O14)/SUMPRODUCT(('Matriz Criterios'!$H$13:$S$13="X")*ISNUMBER('Registro Notas'!$D14:$O14)))</f>
        <v/>
      </c>
      <c r="K14" s="38">
        <f>IF(SUMPRODUCT(('Matriz Criterios'!$H$14:$S$14="X")*ISNUMBER('Registro Notas'!$D14:$O14))=0, "-", SUMPRODUCT(('Matriz Criterios'!$H$14:$S$14="X")*ISNUMBER('Registro Notas'!$D14:$O14)*'Registro Notas'!$D14:$O14)/SUMPRODUCT(('Matriz Criterios'!$H$14:$S$14="X")*ISNUMBER('Registro Notas'!$D14:$O14)))</f>
        <v/>
      </c>
      <c r="L14" s="38">
        <f>IF(SUMPRODUCT(('Matriz Criterios'!$H$15:$S$15="X")*ISNUMBER('Registro Notas'!$D14:$O14))=0, "-", SUMPRODUCT(('Matriz Criterios'!$H$15:$S$15="X")*ISNUMBER('Registro Notas'!$D14:$O14)*'Registro Notas'!$D14:$O14)/SUMPRODUCT(('Matriz Criterios'!$H$15:$S$15="X")*ISNUMBER('Registro Notas'!$D14:$O14)))</f>
        <v/>
      </c>
      <c r="M14" s="38">
        <f>IF(SUMPRODUCT(('Matriz Criterios'!$H$16:$S$16="X")*ISNUMBER('Registro Notas'!$D14:$O14))=0, "-", SUMPRODUCT(('Matriz Criterios'!$H$16:$S$16="X")*ISNUMBER('Registro Notas'!$D14:$O14)*'Registro Notas'!$D14:$O14)/SUMPRODUCT(('Matriz Criterios'!$H$16:$S$16="X")*ISNUMBER('Registro Notas'!$D14:$O14)))</f>
        <v/>
      </c>
      <c r="N14" s="38">
        <f>IF(SUMPRODUCT(('Matriz Criterios'!$H$17:$S$17="X")*ISNUMBER('Registro Notas'!$D14:$O14))=0, "-", SUMPRODUCT(('Matriz Criterios'!$H$17:$S$17="X")*ISNUMBER('Registro Notas'!$D14:$O14)*'Registro Notas'!$D14:$O14)/SUMPRODUCT(('Matriz Criterios'!$H$17:$S$17="X")*ISNUMBER('Registro Notas'!$D14:$O14)))</f>
        <v/>
      </c>
      <c r="O14" s="38">
        <f>IF(SUMPRODUCT(('Matriz Criterios'!$H$18:$S$18="X")*ISNUMBER('Registro Notas'!$D14:$O14))=0, "-", SUMPRODUCT(('Matriz Criterios'!$H$18:$S$18="X")*ISNUMBER('Registro Notas'!$D14:$O14)*'Registro Notas'!$D14:$O14)/SUMPRODUCT(('Matriz Criterios'!$H$18:$S$18="X")*ISNUMBER('Registro Notas'!$D14:$O14)))</f>
        <v/>
      </c>
      <c r="P14" s="38">
        <f>IF(SUMPRODUCT(('Matriz Criterios'!$H$19:$S$19="X")*ISNUMBER('Registro Notas'!$D14:$O14))=0, "-", SUMPRODUCT(('Matriz Criterios'!$H$19:$S$19="X")*ISNUMBER('Registro Notas'!$D14:$O14)*'Registro Notas'!$D14:$O14)/SUMPRODUCT(('Matriz Criterios'!$H$19:$S$19="X")*ISNUMBER('Registro Notas'!$D14:$O14)))</f>
        <v/>
      </c>
      <c r="Q14" s="38">
        <f>IF(SUMPRODUCT(('Matriz Criterios'!$H$20:$S$20="X")*ISNUMBER('Registro Notas'!$D14:$O14))=0, "-", SUMPRODUCT(('Matriz Criterios'!$H$20:$S$20="X")*ISNUMBER('Registro Notas'!$D14:$O14)*'Registro Notas'!$D14:$O14)/SUMPRODUCT(('Matriz Criterios'!$H$20:$S$20="X")*ISNUMBER('Registro Notas'!$D14:$O14)))</f>
        <v/>
      </c>
      <c r="R14" s="38">
        <f>IF(SUMPRODUCT(('Matriz Criterios'!$H$21:$S$21="X")*ISNUMBER('Registro Notas'!$D14:$O14))=0, "-", SUMPRODUCT(('Matriz Criterios'!$H$21:$S$21="X")*ISNUMBER('Registro Notas'!$D14:$O14)*'Registro Notas'!$D14:$O14)/SUMPRODUCT(('Matriz Criterios'!$H$21:$S$21="X")*ISNUMBER('Registro Notas'!$D14:$O14)))</f>
        <v/>
      </c>
      <c r="S14" s="38">
        <f>IF(SUMPRODUCT(('Matriz Criterios'!$H$22:$S$22="X")*ISNUMBER('Registro Notas'!$D14:$O14))=0, "-", SUMPRODUCT(('Matriz Criterios'!$H$22:$S$22="X")*ISNUMBER('Registro Notas'!$D14:$O14)*'Registro Notas'!$D14:$O14)/SUMPRODUCT(('Matriz Criterios'!$H$22:$S$22="X")*ISNUMBER('Registro Notas'!$D14:$O14)))</f>
        <v/>
      </c>
      <c r="T14" s="38">
        <f>IF(SUMPRODUCT(('Matriz Criterios'!$H$23:$S$23="X")*ISNUMBER('Registro Notas'!$D14:$O14))=0, "-", SUMPRODUCT(('Matriz Criterios'!$H$23:$S$23="X")*ISNUMBER('Registro Notas'!$D14:$O14)*'Registro Notas'!$D14:$O14)/SUMPRODUCT(('Matriz Criterios'!$H$23:$S$23="X")*ISNUMBER('Registro Notas'!$D14:$O14)))</f>
        <v/>
      </c>
      <c r="U14" s="38">
        <f>IF(SUMPRODUCT(('Matriz Criterios'!$H$24:$S$24="X")*ISNUMBER('Registro Notas'!$D14:$O14))=0, "-", SUMPRODUCT(('Matriz Criterios'!$H$24:$S$24="X")*ISNUMBER('Registro Notas'!$D14:$O14)*'Registro Notas'!$D14:$O14)/SUMPRODUCT(('Matriz Criterios'!$H$24:$S$24="X")*ISNUMBER('Registro Notas'!$D14:$O14)))</f>
        <v/>
      </c>
      <c r="V14" s="38">
        <f>IF(SUMPRODUCT(('Matriz Criterios'!$H$25:$S$25="X")*ISNUMBER('Registro Notas'!$D14:$O14))=0, "-", SUMPRODUCT(('Matriz Criterios'!$H$25:$S$25="X")*ISNUMBER('Registro Notas'!$D14:$O14)*'Registro Notas'!$D14:$O14)/SUMPRODUCT(('Matriz Criterios'!$H$25:$S$25="X")*ISNUMBER('Registro Notas'!$D14:$O14)))</f>
        <v/>
      </c>
      <c r="W14" s="38">
        <f>IF(SUMPRODUCT(('Matriz Criterios'!$H$26:$S$26="X")*ISNUMBER('Registro Notas'!$D14:$O14))=0, "-", SUMPRODUCT(('Matriz Criterios'!$H$26:$S$26="X")*ISNUMBER('Registro Notas'!$D14:$O14)*'Registro Notas'!$D14:$O14)/SUMPRODUCT(('Matriz Criterios'!$H$26:$S$26="X")*ISNUMBER('Registro Notas'!$D14:$O14)))</f>
        <v/>
      </c>
      <c r="X14" s="38">
        <f>IF(SUMPRODUCT(('Matriz Criterios'!$H$27:$S$27="X")*ISNUMBER('Registro Notas'!$D14:$O14))=0, "-", SUMPRODUCT(('Matriz Criterios'!$H$27:$S$27="X")*ISNUMBER('Registro Notas'!$D14:$O14)*'Registro Notas'!$D14:$O14)/SUMPRODUCT(('Matriz Criterios'!$H$27:$S$27="X")*ISNUMBER('Registro Notas'!$D14:$O14)))</f>
        <v/>
      </c>
      <c r="Y14" s="38">
        <f>IF(SUMPRODUCT(('Matriz Criterios'!$H$28:$S$28="X")*ISNUMBER('Registro Notas'!$D14:$O14))=0, "-", SUMPRODUCT(('Matriz Criterios'!$H$28:$S$28="X")*ISNUMBER('Registro Notas'!$D14:$O14)*'Registro Notas'!$D14:$O14)/SUMPRODUCT(('Matriz Criterios'!$H$28:$S$28="X")*ISNUMBER('Registro Notas'!$D14:$O14)))</f>
        <v/>
      </c>
      <c r="Z14" s="38">
        <f>IF(SUMPRODUCT(('Matriz Criterios'!$H$29:$S$29="X")*ISNUMBER('Registro Notas'!$D14:$O14))=0, "-", SUMPRODUCT(('Matriz Criterios'!$H$29:$S$29="X")*ISNUMBER('Registro Notas'!$D14:$O14)*'Registro Notas'!$D14:$O14)/SUMPRODUCT(('Matriz Criterios'!$H$29:$S$29="X")*ISNUMBER('Registro Notas'!$D14:$O14)))</f>
        <v/>
      </c>
      <c r="AA14" s="38">
        <f>IF(SUMPRODUCT(('Matriz Criterios'!$H$30:$S$30="X")*ISNUMBER('Registro Notas'!$D14:$O14))=0, "-", SUMPRODUCT(('Matriz Criterios'!$H$30:$S$30="X")*ISNUMBER('Registro Notas'!$D14:$O14)*'Registro Notas'!$D14:$O14)/SUMPRODUCT(('Matriz Criterios'!$H$30:$S$30="X")*ISNUMBER('Registro Notas'!$D14:$O14)))</f>
        <v/>
      </c>
      <c r="AB14" s="38">
        <f>IF(SUMPRODUCT(('Matriz Criterios'!$H$31:$S$31="X")*ISNUMBER('Registro Notas'!$D14:$O14))=0, "-", SUMPRODUCT(('Matriz Criterios'!$H$31:$S$31="X")*ISNUMBER('Registro Notas'!$D14:$O14)*'Registro Notas'!$D14:$O14)/SUMPRODUCT(('Matriz Criterios'!$H$31:$S$31="X")*ISNUMBER('Registro Notas'!$D14:$O14)))</f>
        <v/>
      </c>
      <c r="AC14" s="38">
        <f>IF(SUMPRODUCT(('Matriz Criterios'!$H$32:$S$32="X")*ISNUMBER('Registro Notas'!$D14:$O14))=0, "-", SUMPRODUCT(('Matriz Criterios'!$H$32:$S$32="X")*ISNUMBER('Registro Notas'!$D14:$O14)*'Registro Notas'!$D14:$O14)/SUMPRODUCT(('Matriz Criterios'!$H$32:$S$32="X")*ISNUMBER('Registro Notas'!$D14:$O14)))</f>
        <v/>
      </c>
      <c r="AD14" s="38">
        <f>IF(SUMPRODUCT(('Matriz Criterios'!$H$33:$S$33="X")*ISNUMBER('Registro Notas'!$D14:$O14))=0, "-", SUMPRODUCT(('Matriz Criterios'!$H$33:$S$33="X")*ISNUMBER('Registro Notas'!$D14:$O14)*'Registro Notas'!$D14:$O14)/SUMPRODUCT(('Matriz Criterios'!$H$33:$S$33="X")*ISNUMBER('Registro Notas'!$D14:$O14)))</f>
        <v/>
      </c>
      <c r="AE14" s="38">
        <f>IF(SUMPRODUCT(('Matriz Criterios'!$H$34:$S$34="X")*ISNUMBER('Registro Notas'!$D14:$O14))=0, "-", SUMPRODUCT(('Matriz Criterios'!$H$34:$S$34="X")*ISNUMBER('Registro Notas'!$D14:$O14)*'Registro Notas'!$D14:$O14)/SUMPRODUCT(('Matriz Criterios'!$H$34:$S$34="X")*ISNUMBER('Registro Notas'!$D14:$O14)))</f>
        <v/>
      </c>
      <c r="AF14" s="38">
        <f>IF(SUMPRODUCT(('Matriz Criterios'!$H$35:$S$35="X")*ISNUMBER('Registro Notas'!$D14:$O14))=0, "-", SUMPRODUCT(('Matriz Criterios'!$H$35:$S$35="X")*ISNUMBER('Registro Notas'!$D14:$O14)*'Registro Notas'!$D14:$O14)/SUMPRODUCT(('Matriz Criterios'!$H$35:$S$35="X")*ISNUMBER('Registro Notas'!$D14:$O14)))</f>
        <v/>
      </c>
      <c r="AG14" s="38">
        <f>IF(SUMPRODUCT(('Matriz Criterios'!$H$36:$S$36="X")*ISNUMBER('Registro Notas'!$D14:$O14))=0, "-", SUMPRODUCT(('Matriz Criterios'!$H$36:$S$36="X")*ISNUMBER('Registro Notas'!$D14:$O14)*'Registro Notas'!$D14:$O14)/SUMPRODUCT(('Matriz Criterios'!$H$36:$S$36="X")*ISNUMBER('Registro Notas'!$D14:$O14)))</f>
        <v/>
      </c>
      <c r="AH14" s="38">
        <f>IF(SUMPRODUCT(('Matriz Criterios'!$H$37:$S$37="X")*ISNUMBER('Registro Notas'!$D14:$O14))=0, "-", SUMPRODUCT(('Matriz Criterios'!$H$37:$S$37="X")*ISNUMBER('Registro Notas'!$D14:$O14)*'Registro Notas'!$D14:$O14)/SUMPRODUCT(('Matriz Criterios'!$H$37:$S$37="X")*ISNUMBER('Registro Notas'!$D14:$O14)))</f>
        <v/>
      </c>
      <c r="AI14" s="38">
        <f>IF(SUMPRODUCT(('Matriz Criterios'!$H$38:$S$38="X")*ISNUMBER('Registro Notas'!$D14:$O14))=0, "-", SUMPRODUCT(('Matriz Criterios'!$H$38:$S$38="X")*ISNUMBER('Registro Notas'!$D14:$O14)*'Registro Notas'!$D14:$O14)/SUMPRODUCT(('Matriz Criterios'!$H$38:$S$38="X")*ISNUMBER('Registro Notas'!$D14:$O14)))</f>
        <v/>
      </c>
      <c r="AJ14" s="38">
        <f>IF(SUMPRODUCT(('Matriz Criterios'!$H$39:$S$39="X")*ISNUMBER('Registro Notas'!$D14:$O14))=0, "-", SUMPRODUCT(('Matriz Criterios'!$H$39:$S$39="X")*ISNUMBER('Registro Notas'!$D14:$O14)*'Registro Notas'!$D14:$O14)/SUMPRODUCT(('Matriz Criterios'!$H$39:$S$39="X")*ISNUMBER('Registro Notas'!$D14:$O14)))</f>
        <v/>
      </c>
      <c r="AK14" s="42">
        <f>AVERAGE(C14:AJ14)</f>
        <v/>
      </c>
      <c r="AL14" s="53">
        <f>COUNTIF(C14:AJ14, "&gt;=5")</f>
        <v/>
      </c>
    </row>
    <row r="15" ht="20" customHeight="1">
      <c r="A15" s="22" t="n">
        <v>10</v>
      </c>
      <c r="B15" s="43" t="inlineStr">
        <is>
          <t>Martín Vega, Javier</t>
        </is>
      </c>
      <c r="C15" s="44">
        <f>IF(SUMPRODUCT(('Matriz Criterios'!$H$6:$S$6="X")*ISNUMBER('Registro Notas'!$D15:$O15))=0, "-", SUMPRODUCT(('Matriz Criterios'!$H$6:$S$6="X")*ISNUMBER('Registro Notas'!$D15:$O15)*'Registro Notas'!$D15:$O15)/SUMPRODUCT(('Matriz Criterios'!$H$6:$S$6="X")*ISNUMBER('Registro Notas'!$D15:$O15)))</f>
        <v/>
      </c>
      <c r="D15" s="44">
        <f>IF(SUMPRODUCT(('Matriz Criterios'!$H$7:$S$7="X")*ISNUMBER('Registro Notas'!$D15:$O15))=0, "-", SUMPRODUCT(('Matriz Criterios'!$H$7:$S$7="X")*ISNUMBER('Registro Notas'!$D15:$O15)*'Registro Notas'!$D15:$O15)/SUMPRODUCT(('Matriz Criterios'!$H$7:$S$7="X")*ISNUMBER('Registro Notas'!$D15:$O15)))</f>
        <v/>
      </c>
      <c r="E15" s="44">
        <f>IF(SUMPRODUCT(('Matriz Criterios'!$H$8:$S$8="X")*ISNUMBER('Registro Notas'!$D15:$O15))=0, "-", SUMPRODUCT(('Matriz Criterios'!$H$8:$S$8="X")*ISNUMBER('Registro Notas'!$D15:$O15)*'Registro Notas'!$D15:$O15)/SUMPRODUCT(('Matriz Criterios'!$H$8:$S$8="X")*ISNUMBER('Registro Notas'!$D15:$O15)))</f>
        <v/>
      </c>
      <c r="F15" s="44">
        <f>IF(SUMPRODUCT(('Matriz Criterios'!$H$9:$S$9="X")*ISNUMBER('Registro Notas'!$D15:$O15))=0, "-", SUMPRODUCT(('Matriz Criterios'!$H$9:$S$9="X")*ISNUMBER('Registro Notas'!$D15:$O15)*'Registro Notas'!$D15:$O15)/SUMPRODUCT(('Matriz Criterios'!$H$9:$S$9="X")*ISNUMBER('Registro Notas'!$D15:$O15)))</f>
        <v/>
      </c>
      <c r="G15" s="44">
        <f>IF(SUMPRODUCT(('Matriz Criterios'!$H$10:$S$10="X")*ISNUMBER('Registro Notas'!$D15:$O15))=0, "-", SUMPRODUCT(('Matriz Criterios'!$H$10:$S$10="X")*ISNUMBER('Registro Notas'!$D15:$O15)*'Registro Notas'!$D15:$O15)/SUMPRODUCT(('Matriz Criterios'!$H$10:$S$10="X")*ISNUMBER('Registro Notas'!$D15:$O15)))</f>
        <v/>
      </c>
      <c r="H15" s="44">
        <f>IF(SUMPRODUCT(('Matriz Criterios'!$H$11:$S$11="X")*ISNUMBER('Registro Notas'!$D15:$O15))=0, "-", SUMPRODUCT(('Matriz Criterios'!$H$11:$S$11="X")*ISNUMBER('Registro Notas'!$D15:$O15)*'Registro Notas'!$D15:$O15)/SUMPRODUCT(('Matriz Criterios'!$H$11:$S$11="X")*ISNUMBER('Registro Notas'!$D15:$O15)))</f>
        <v/>
      </c>
      <c r="I15" s="44">
        <f>IF(SUMPRODUCT(('Matriz Criterios'!$H$12:$S$12="X")*ISNUMBER('Registro Notas'!$D15:$O15))=0, "-", SUMPRODUCT(('Matriz Criterios'!$H$12:$S$12="X")*ISNUMBER('Registro Notas'!$D15:$O15)*'Registro Notas'!$D15:$O15)/SUMPRODUCT(('Matriz Criterios'!$H$12:$S$12="X")*ISNUMBER('Registro Notas'!$D15:$O15)))</f>
        <v/>
      </c>
      <c r="J15" s="44">
        <f>IF(SUMPRODUCT(('Matriz Criterios'!$H$13:$S$13="X")*ISNUMBER('Registro Notas'!$D15:$O15))=0, "-", SUMPRODUCT(('Matriz Criterios'!$H$13:$S$13="X")*ISNUMBER('Registro Notas'!$D15:$O15)*'Registro Notas'!$D15:$O15)/SUMPRODUCT(('Matriz Criterios'!$H$13:$S$13="X")*ISNUMBER('Registro Notas'!$D15:$O15)))</f>
        <v/>
      </c>
      <c r="K15" s="44">
        <f>IF(SUMPRODUCT(('Matriz Criterios'!$H$14:$S$14="X")*ISNUMBER('Registro Notas'!$D15:$O15))=0, "-", SUMPRODUCT(('Matriz Criterios'!$H$14:$S$14="X")*ISNUMBER('Registro Notas'!$D15:$O15)*'Registro Notas'!$D15:$O15)/SUMPRODUCT(('Matriz Criterios'!$H$14:$S$14="X")*ISNUMBER('Registro Notas'!$D15:$O15)))</f>
        <v/>
      </c>
      <c r="L15" s="44">
        <f>IF(SUMPRODUCT(('Matriz Criterios'!$H$15:$S$15="X")*ISNUMBER('Registro Notas'!$D15:$O15))=0, "-", SUMPRODUCT(('Matriz Criterios'!$H$15:$S$15="X")*ISNUMBER('Registro Notas'!$D15:$O15)*'Registro Notas'!$D15:$O15)/SUMPRODUCT(('Matriz Criterios'!$H$15:$S$15="X")*ISNUMBER('Registro Notas'!$D15:$O15)))</f>
        <v/>
      </c>
      <c r="M15" s="44">
        <f>IF(SUMPRODUCT(('Matriz Criterios'!$H$16:$S$16="X")*ISNUMBER('Registro Notas'!$D15:$O15))=0, "-", SUMPRODUCT(('Matriz Criterios'!$H$16:$S$16="X")*ISNUMBER('Registro Notas'!$D15:$O15)*'Registro Notas'!$D15:$O15)/SUMPRODUCT(('Matriz Criterios'!$H$16:$S$16="X")*ISNUMBER('Registro Notas'!$D15:$O15)))</f>
        <v/>
      </c>
      <c r="N15" s="44">
        <f>IF(SUMPRODUCT(('Matriz Criterios'!$H$17:$S$17="X")*ISNUMBER('Registro Notas'!$D15:$O15))=0, "-", SUMPRODUCT(('Matriz Criterios'!$H$17:$S$17="X")*ISNUMBER('Registro Notas'!$D15:$O15)*'Registro Notas'!$D15:$O15)/SUMPRODUCT(('Matriz Criterios'!$H$17:$S$17="X")*ISNUMBER('Registro Notas'!$D15:$O15)))</f>
        <v/>
      </c>
      <c r="O15" s="44">
        <f>IF(SUMPRODUCT(('Matriz Criterios'!$H$18:$S$18="X")*ISNUMBER('Registro Notas'!$D15:$O15))=0, "-", SUMPRODUCT(('Matriz Criterios'!$H$18:$S$18="X")*ISNUMBER('Registro Notas'!$D15:$O15)*'Registro Notas'!$D15:$O15)/SUMPRODUCT(('Matriz Criterios'!$H$18:$S$18="X")*ISNUMBER('Registro Notas'!$D15:$O15)))</f>
        <v/>
      </c>
      <c r="P15" s="44">
        <f>IF(SUMPRODUCT(('Matriz Criterios'!$H$19:$S$19="X")*ISNUMBER('Registro Notas'!$D15:$O15))=0, "-", SUMPRODUCT(('Matriz Criterios'!$H$19:$S$19="X")*ISNUMBER('Registro Notas'!$D15:$O15)*'Registro Notas'!$D15:$O15)/SUMPRODUCT(('Matriz Criterios'!$H$19:$S$19="X")*ISNUMBER('Registro Notas'!$D15:$O15)))</f>
        <v/>
      </c>
      <c r="Q15" s="44">
        <f>IF(SUMPRODUCT(('Matriz Criterios'!$H$20:$S$20="X")*ISNUMBER('Registro Notas'!$D15:$O15))=0, "-", SUMPRODUCT(('Matriz Criterios'!$H$20:$S$20="X")*ISNUMBER('Registro Notas'!$D15:$O15)*'Registro Notas'!$D15:$O15)/SUMPRODUCT(('Matriz Criterios'!$H$20:$S$20="X")*ISNUMBER('Registro Notas'!$D15:$O15)))</f>
        <v/>
      </c>
      <c r="R15" s="44">
        <f>IF(SUMPRODUCT(('Matriz Criterios'!$H$21:$S$21="X")*ISNUMBER('Registro Notas'!$D15:$O15))=0, "-", SUMPRODUCT(('Matriz Criterios'!$H$21:$S$21="X")*ISNUMBER('Registro Notas'!$D15:$O15)*'Registro Notas'!$D15:$O15)/SUMPRODUCT(('Matriz Criterios'!$H$21:$S$21="X")*ISNUMBER('Registro Notas'!$D15:$O15)))</f>
        <v/>
      </c>
      <c r="S15" s="44">
        <f>IF(SUMPRODUCT(('Matriz Criterios'!$H$22:$S$22="X")*ISNUMBER('Registro Notas'!$D15:$O15))=0, "-", SUMPRODUCT(('Matriz Criterios'!$H$22:$S$22="X")*ISNUMBER('Registro Notas'!$D15:$O15)*'Registro Notas'!$D15:$O15)/SUMPRODUCT(('Matriz Criterios'!$H$22:$S$22="X")*ISNUMBER('Registro Notas'!$D15:$O15)))</f>
        <v/>
      </c>
      <c r="T15" s="44">
        <f>IF(SUMPRODUCT(('Matriz Criterios'!$H$23:$S$23="X")*ISNUMBER('Registro Notas'!$D15:$O15))=0, "-", SUMPRODUCT(('Matriz Criterios'!$H$23:$S$23="X")*ISNUMBER('Registro Notas'!$D15:$O15)*'Registro Notas'!$D15:$O15)/SUMPRODUCT(('Matriz Criterios'!$H$23:$S$23="X")*ISNUMBER('Registro Notas'!$D15:$O15)))</f>
        <v/>
      </c>
      <c r="U15" s="44">
        <f>IF(SUMPRODUCT(('Matriz Criterios'!$H$24:$S$24="X")*ISNUMBER('Registro Notas'!$D15:$O15))=0, "-", SUMPRODUCT(('Matriz Criterios'!$H$24:$S$24="X")*ISNUMBER('Registro Notas'!$D15:$O15)*'Registro Notas'!$D15:$O15)/SUMPRODUCT(('Matriz Criterios'!$H$24:$S$24="X")*ISNUMBER('Registro Notas'!$D15:$O15)))</f>
        <v/>
      </c>
      <c r="V15" s="44">
        <f>IF(SUMPRODUCT(('Matriz Criterios'!$H$25:$S$25="X")*ISNUMBER('Registro Notas'!$D15:$O15))=0, "-", SUMPRODUCT(('Matriz Criterios'!$H$25:$S$25="X")*ISNUMBER('Registro Notas'!$D15:$O15)*'Registro Notas'!$D15:$O15)/SUMPRODUCT(('Matriz Criterios'!$H$25:$S$25="X")*ISNUMBER('Registro Notas'!$D15:$O15)))</f>
        <v/>
      </c>
      <c r="W15" s="44">
        <f>IF(SUMPRODUCT(('Matriz Criterios'!$H$26:$S$26="X")*ISNUMBER('Registro Notas'!$D15:$O15))=0, "-", SUMPRODUCT(('Matriz Criterios'!$H$26:$S$26="X")*ISNUMBER('Registro Notas'!$D15:$O15)*'Registro Notas'!$D15:$O15)/SUMPRODUCT(('Matriz Criterios'!$H$26:$S$26="X")*ISNUMBER('Registro Notas'!$D15:$O15)))</f>
        <v/>
      </c>
      <c r="X15" s="44">
        <f>IF(SUMPRODUCT(('Matriz Criterios'!$H$27:$S$27="X")*ISNUMBER('Registro Notas'!$D15:$O15))=0, "-", SUMPRODUCT(('Matriz Criterios'!$H$27:$S$27="X")*ISNUMBER('Registro Notas'!$D15:$O15)*'Registro Notas'!$D15:$O15)/SUMPRODUCT(('Matriz Criterios'!$H$27:$S$27="X")*ISNUMBER('Registro Notas'!$D15:$O15)))</f>
        <v/>
      </c>
      <c r="Y15" s="44">
        <f>IF(SUMPRODUCT(('Matriz Criterios'!$H$28:$S$28="X")*ISNUMBER('Registro Notas'!$D15:$O15))=0, "-", SUMPRODUCT(('Matriz Criterios'!$H$28:$S$28="X")*ISNUMBER('Registro Notas'!$D15:$O15)*'Registro Notas'!$D15:$O15)/SUMPRODUCT(('Matriz Criterios'!$H$28:$S$28="X")*ISNUMBER('Registro Notas'!$D15:$O15)))</f>
        <v/>
      </c>
      <c r="Z15" s="44">
        <f>IF(SUMPRODUCT(('Matriz Criterios'!$H$29:$S$29="X")*ISNUMBER('Registro Notas'!$D15:$O15))=0, "-", SUMPRODUCT(('Matriz Criterios'!$H$29:$S$29="X")*ISNUMBER('Registro Notas'!$D15:$O15)*'Registro Notas'!$D15:$O15)/SUMPRODUCT(('Matriz Criterios'!$H$29:$S$29="X")*ISNUMBER('Registro Notas'!$D15:$O15)))</f>
        <v/>
      </c>
      <c r="AA15" s="44">
        <f>IF(SUMPRODUCT(('Matriz Criterios'!$H$30:$S$30="X")*ISNUMBER('Registro Notas'!$D15:$O15))=0, "-", SUMPRODUCT(('Matriz Criterios'!$H$30:$S$30="X")*ISNUMBER('Registro Notas'!$D15:$O15)*'Registro Notas'!$D15:$O15)/SUMPRODUCT(('Matriz Criterios'!$H$30:$S$30="X")*ISNUMBER('Registro Notas'!$D15:$O15)))</f>
        <v/>
      </c>
      <c r="AB15" s="44">
        <f>IF(SUMPRODUCT(('Matriz Criterios'!$H$31:$S$31="X")*ISNUMBER('Registro Notas'!$D15:$O15))=0, "-", SUMPRODUCT(('Matriz Criterios'!$H$31:$S$31="X")*ISNUMBER('Registro Notas'!$D15:$O15)*'Registro Notas'!$D15:$O15)/SUMPRODUCT(('Matriz Criterios'!$H$31:$S$31="X")*ISNUMBER('Registro Notas'!$D15:$O15)))</f>
        <v/>
      </c>
      <c r="AC15" s="44">
        <f>IF(SUMPRODUCT(('Matriz Criterios'!$H$32:$S$32="X")*ISNUMBER('Registro Notas'!$D15:$O15))=0, "-", SUMPRODUCT(('Matriz Criterios'!$H$32:$S$32="X")*ISNUMBER('Registro Notas'!$D15:$O15)*'Registro Notas'!$D15:$O15)/SUMPRODUCT(('Matriz Criterios'!$H$32:$S$32="X")*ISNUMBER('Registro Notas'!$D15:$O15)))</f>
        <v/>
      </c>
      <c r="AD15" s="44">
        <f>IF(SUMPRODUCT(('Matriz Criterios'!$H$33:$S$33="X")*ISNUMBER('Registro Notas'!$D15:$O15))=0, "-", SUMPRODUCT(('Matriz Criterios'!$H$33:$S$33="X")*ISNUMBER('Registro Notas'!$D15:$O15)*'Registro Notas'!$D15:$O15)/SUMPRODUCT(('Matriz Criterios'!$H$33:$S$33="X")*ISNUMBER('Registro Notas'!$D15:$O15)))</f>
        <v/>
      </c>
      <c r="AE15" s="44">
        <f>IF(SUMPRODUCT(('Matriz Criterios'!$H$34:$S$34="X")*ISNUMBER('Registro Notas'!$D15:$O15))=0, "-", SUMPRODUCT(('Matriz Criterios'!$H$34:$S$34="X")*ISNUMBER('Registro Notas'!$D15:$O15)*'Registro Notas'!$D15:$O15)/SUMPRODUCT(('Matriz Criterios'!$H$34:$S$34="X")*ISNUMBER('Registro Notas'!$D15:$O15)))</f>
        <v/>
      </c>
      <c r="AF15" s="44">
        <f>IF(SUMPRODUCT(('Matriz Criterios'!$H$35:$S$35="X")*ISNUMBER('Registro Notas'!$D15:$O15))=0, "-", SUMPRODUCT(('Matriz Criterios'!$H$35:$S$35="X")*ISNUMBER('Registro Notas'!$D15:$O15)*'Registro Notas'!$D15:$O15)/SUMPRODUCT(('Matriz Criterios'!$H$35:$S$35="X")*ISNUMBER('Registro Notas'!$D15:$O15)))</f>
        <v/>
      </c>
      <c r="AG15" s="44">
        <f>IF(SUMPRODUCT(('Matriz Criterios'!$H$36:$S$36="X")*ISNUMBER('Registro Notas'!$D15:$O15))=0, "-", SUMPRODUCT(('Matriz Criterios'!$H$36:$S$36="X")*ISNUMBER('Registro Notas'!$D15:$O15)*'Registro Notas'!$D15:$O15)/SUMPRODUCT(('Matriz Criterios'!$H$36:$S$36="X")*ISNUMBER('Registro Notas'!$D15:$O15)))</f>
        <v/>
      </c>
      <c r="AH15" s="44">
        <f>IF(SUMPRODUCT(('Matriz Criterios'!$H$37:$S$37="X")*ISNUMBER('Registro Notas'!$D15:$O15))=0, "-", SUMPRODUCT(('Matriz Criterios'!$H$37:$S$37="X")*ISNUMBER('Registro Notas'!$D15:$O15)*'Registro Notas'!$D15:$O15)/SUMPRODUCT(('Matriz Criterios'!$H$37:$S$37="X")*ISNUMBER('Registro Notas'!$D15:$O15)))</f>
        <v/>
      </c>
      <c r="AI15" s="44">
        <f>IF(SUMPRODUCT(('Matriz Criterios'!$H$38:$S$38="X")*ISNUMBER('Registro Notas'!$D15:$O15))=0, "-", SUMPRODUCT(('Matriz Criterios'!$H$38:$S$38="X")*ISNUMBER('Registro Notas'!$D15:$O15)*'Registro Notas'!$D15:$O15)/SUMPRODUCT(('Matriz Criterios'!$H$38:$S$38="X")*ISNUMBER('Registro Notas'!$D15:$O15)))</f>
        <v/>
      </c>
      <c r="AJ15" s="44">
        <f>IF(SUMPRODUCT(('Matriz Criterios'!$H$39:$S$39="X")*ISNUMBER('Registro Notas'!$D15:$O15))=0, "-", SUMPRODUCT(('Matriz Criterios'!$H$39:$S$39="X")*ISNUMBER('Registro Notas'!$D15:$O15)*'Registro Notas'!$D15:$O15)/SUMPRODUCT(('Matriz Criterios'!$H$39:$S$39="X")*ISNUMBER('Registro Notas'!$D15:$O15)))</f>
        <v/>
      </c>
      <c r="AK15" s="42">
        <f>AVERAGE(C15:AJ15)</f>
        <v/>
      </c>
      <c r="AL15" s="53">
        <f>COUNTIF(C15:AJ15, "&gt;=5")</f>
        <v/>
      </c>
    </row>
    <row r="16" ht="20" customHeight="1">
      <c r="A16" s="15" t="n">
        <v>11</v>
      </c>
      <c r="B16" s="37" t="inlineStr">
        <is>
          <t>Navarro Gil, Ana</t>
        </is>
      </c>
      <c r="C16" s="38">
        <f>IF(SUMPRODUCT(('Matriz Criterios'!$H$6:$S$6="X")*ISNUMBER('Registro Notas'!$D16:$O16))=0, "-", SUMPRODUCT(('Matriz Criterios'!$H$6:$S$6="X")*ISNUMBER('Registro Notas'!$D16:$O16)*'Registro Notas'!$D16:$O16)/SUMPRODUCT(('Matriz Criterios'!$H$6:$S$6="X")*ISNUMBER('Registro Notas'!$D16:$O16)))</f>
        <v/>
      </c>
      <c r="D16" s="38">
        <f>IF(SUMPRODUCT(('Matriz Criterios'!$H$7:$S$7="X")*ISNUMBER('Registro Notas'!$D16:$O16))=0, "-", SUMPRODUCT(('Matriz Criterios'!$H$7:$S$7="X")*ISNUMBER('Registro Notas'!$D16:$O16)*'Registro Notas'!$D16:$O16)/SUMPRODUCT(('Matriz Criterios'!$H$7:$S$7="X")*ISNUMBER('Registro Notas'!$D16:$O16)))</f>
        <v/>
      </c>
      <c r="E16" s="38">
        <f>IF(SUMPRODUCT(('Matriz Criterios'!$H$8:$S$8="X")*ISNUMBER('Registro Notas'!$D16:$O16))=0, "-", SUMPRODUCT(('Matriz Criterios'!$H$8:$S$8="X")*ISNUMBER('Registro Notas'!$D16:$O16)*'Registro Notas'!$D16:$O16)/SUMPRODUCT(('Matriz Criterios'!$H$8:$S$8="X")*ISNUMBER('Registro Notas'!$D16:$O16)))</f>
        <v/>
      </c>
      <c r="F16" s="38">
        <f>IF(SUMPRODUCT(('Matriz Criterios'!$H$9:$S$9="X")*ISNUMBER('Registro Notas'!$D16:$O16))=0, "-", SUMPRODUCT(('Matriz Criterios'!$H$9:$S$9="X")*ISNUMBER('Registro Notas'!$D16:$O16)*'Registro Notas'!$D16:$O16)/SUMPRODUCT(('Matriz Criterios'!$H$9:$S$9="X")*ISNUMBER('Registro Notas'!$D16:$O16)))</f>
        <v/>
      </c>
      <c r="G16" s="38">
        <f>IF(SUMPRODUCT(('Matriz Criterios'!$H$10:$S$10="X")*ISNUMBER('Registro Notas'!$D16:$O16))=0, "-", SUMPRODUCT(('Matriz Criterios'!$H$10:$S$10="X")*ISNUMBER('Registro Notas'!$D16:$O16)*'Registro Notas'!$D16:$O16)/SUMPRODUCT(('Matriz Criterios'!$H$10:$S$10="X")*ISNUMBER('Registro Notas'!$D16:$O16)))</f>
        <v/>
      </c>
      <c r="H16" s="38">
        <f>IF(SUMPRODUCT(('Matriz Criterios'!$H$11:$S$11="X")*ISNUMBER('Registro Notas'!$D16:$O16))=0, "-", SUMPRODUCT(('Matriz Criterios'!$H$11:$S$11="X")*ISNUMBER('Registro Notas'!$D16:$O16)*'Registro Notas'!$D16:$O16)/SUMPRODUCT(('Matriz Criterios'!$H$11:$S$11="X")*ISNUMBER('Registro Notas'!$D16:$O16)))</f>
        <v/>
      </c>
      <c r="I16" s="38">
        <f>IF(SUMPRODUCT(('Matriz Criterios'!$H$12:$S$12="X")*ISNUMBER('Registro Notas'!$D16:$O16))=0, "-", SUMPRODUCT(('Matriz Criterios'!$H$12:$S$12="X")*ISNUMBER('Registro Notas'!$D16:$O16)*'Registro Notas'!$D16:$O16)/SUMPRODUCT(('Matriz Criterios'!$H$12:$S$12="X")*ISNUMBER('Registro Notas'!$D16:$O16)))</f>
        <v/>
      </c>
      <c r="J16" s="38">
        <f>IF(SUMPRODUCT(('Matriz Criterios'!$H$13:$S$13="X")*ISNUMBER('Registro Notas'!$D16:$O16))=0, "-", SUMPRODUCT(('Matriz Criterios'!$H$13:$S$13="X")*ISNUMBER('Registro Notas'!$D16:$O16)*'Registro Notas'!$D16:$O16)/SUMPRODUCT(('Matriz Criterios'!$H$13:$S$13="X")*ISNUMBER('Registro Notas'!$D16:$O16)))</f>
        <v/>
      </c>
      <c r="K16" s="38">
        <f>IF(SUMPRODUCT(('Matriz Criterios'!$H$14:$S$14="X")*ISNUMBER('Registro Notas'!$D16:$O16))=0, "-", SUMPRODUCT(('Matriz Criterios'!$H$14:$S$14="X")*ISNUMBER('Registro Notas'!$D16:$O16)*'Registro Notas'!$D16:$O16)/SUMPRODUCT(('Matriz Criterios'!$H$14:$S$14="X")*ISNUMBER('Registro Notas'!$D16:$O16)))</f>
        <v/>
      </c>
      <c r="L16" s="38">
        <f>IF(SUMPRODUCT(('Matriz Criterios'!$H$15:$S$15="X")*ISNUMBER('Registro Notas'!$D16:$O16))=0, "-", SUMPRODUCT(('Matriz Criterios'!$H$15:$S$15="X")*ISNUMBER('Registro Notas'!$D16:$O16)*'Registro Notas'!$D16:$O16)/SUMPRODUCT(('Matriz Criterios'!$H$15:$S$15="X")*ISNUMBER('Registro Notas'!$D16:$O16)))</f>
        <v/>
      </c>
      <c r="M16" s="38">
        <f>IF(SUMPRODUCT(('Matriz Criterios'!$H$16:$S$16="X")*ISNUMBER('Registro Notas'!$D16:$O16))=0, "-", SUMPRODUCT(('Matriz Criterios'!$H$16:$S$16="X")*ISNUMBER('Registro Notas'!$D16:$O16)*'Registro Notas'!$D16:$O16)/SUMPRODUCT(('Matriz Criterios'!$H$16:$S$16="X")*ISNUMBER('Registro Notas'!$D16:$O16)))</f>
        <v/>
      </c>
      <c r="N16" s="38">
        <f>IF(SUMPRODUCT(('Matriz Criterios'!$H$17:$S$17="X")*ISNUMBER('Registro Notas'!$D16:$O16))=0, "-", SUMPRODUCT(('Matriz Criterios'!$H$17:$S$17="X")*ISNUMBER('Registro Notas'!$D16:$O16)*'Registro Notas'!$D16:$O16)/SUMPRODUCT(('Matriz Criterios'!$H$17:$S$17="X")*ISNUMBER('Registro Notas'!$D16:$O16)))</f>
        <v/>
      </c>
      <c r="O16" s="38">
        <f>IF(SUMPRODUCT(('Matriz Criterios'!$H$18:$S$18="X")*ISNUMBER('Registro Notas'!$D16:$O16))=0, "-", SUMPRODUCT(('Matriz Criterios'!$H$18:$S$18="X")*ISNUMBER('Registro Notas'!$D16:$O16)*'Registro Notas'!$D16:$O16)/SUMPRODUCT(('Matriz Criterios'!$H$18:$S$18="X")*ISNUMBER('Registro Notas'!$D16:$O16)))</f>
        <v/>
      </c>
      <c r="P16" s="38">
        <f>IF(SUMPRODUCT(('Matriz Criterios'!$H$19:$S$19="X")*ISNUMBER('Registro Notas'!$D16:$O16))=0, "-", SUMPRODUCT(('Matriz Criterios'!$H$19:$S$19="X")*ISNUMBER('Registro Notas'!$D16:$O16)*'Registro Notas'!$D16:$O16)/SUMPRODUCT(('Matriz Criterios'!$H$19:$S$19="X")*ISNUMBER('Registro Notas'!$D16:$O16)))</f>
        <v/>
      </c>
      <c r="Q16" s="38">
        <f>IF(SUMPRODUCT(('Matriz Criterios'!$H$20:$S$20="X")*ISNUMBER('Registro Notas'!$D16:$O16))=0, "-", SUMPRODUCT(('Matriz Criterios'!$H$20:$S$20="X")*ISNUMBER('Registro Notas'!$D16:$O16)*'Registro Notas'!$D16:$O16)/SUMPRODUCT(('Matriz Criterios'!$H$20:$S$20="X")*ISNUMBER('Registro Notas'!$D16:$O16)))</f>
        <v/>
      </c>
      <c r="R16" s="38">
        <f>IF(SUMPRODUCT(('Matriz Criterios'!$H$21:$S$21="X")*ISNUMBER('Registro Notas'!$D16:$O16))=0, "-", SUMPRODUCT(('Matriz Criterios'!$H$21:$S$21="X")*ISNUMBER('Registro Notas'!$D16:$O16)*'Registro Notas'!$D16:$O16)/SUMPRODUCT(('Matriz Criterios'!$H$21:$S$21="X")*ISNUMBER('Registro Notas'!$D16:$O16)))</f>
        <v/>
      </c>
      <c r="S16" s="38">
        <f>IF(SUMPRODUCT(('Matriz Criterios'!$H$22:$S$22="X")*ISNUMBER('Registro Notas'!$D16:$O16))=0, "-", SUMPRODUCT(('Matriz Criterios'!$H$22:$S$22="X")*ISNUMBER('Registro Notas'!$D16:$O16)*'Registro Notas'!$D16:$O16)/SUMPRODUCT(('Matriz Criterios'!$H$22:$S$22="X")*ISNUMBER('Registro Notas'!$D16:$O16)))</f>
        <v/>
      </c>
      <c r="T16" s="38">
        <f>IF(SUMPRODUCT(('Matriz Criterios'!$H$23:$S$23="X")*ISNUMBER('Registro Notas'!$D16:$O16))=0, "-", SUMPRODUCT(('Matriz Criterios'!$H$23:$S$23="X")*ISNUMBER('Registro Notas'!$D16:$O16)*'Registro Notas'!$D16:$O16)/SUMPRODUCT(('Matriz Criterios'!$H$23:$S$23="X")*ISNUMBER('Registro Notas'!$D16:$O16)))</f>
        <v/>
      </c>
      <c r="U16" s="38">
        <f>IF(SUMPRODUCT(('Matriz Criterios'!$H$24:$S$24="X")*ISNUMBER('Registro Notas'!$D16:$O16))=0, "-", SUMPRODUCT(('Matriz Criterios'!$H$24:$S$24="X")*ISNUMBER('Registro Notas'!$D16:$O16)*'Registro Notas'!$D16:$O16)/SUMPRODUCT(('Matriz Criterios'!$H$24:$S$24="X")*ISNUMBER('Registro Notas'!$D16:$O16)))</f>
        <v/>
      </c>
      <c r="V16" s="38">
        <f>IF(SUMPRODUCT(('Matriz Criterios'!$H$25:$S$25="X")*ISNUMBER('Registro Notas'!$D16:$O16))=0, "-", SUMPRODUCT(('Matriz Criterios'!$H$25:$S$25="X")*ISNUMBER('Registro Notas'!$D16:$O16)*'Registro Notas'!$D16:$O16)/SUMPRODUCT(('Matriz Criterios'!$H$25:$S$25="X")*ISNUMBER('Registro Notas'!$D16:$O16)))</f>
        <v/>
      </c>
      <c r="W16" s="38">
        <f>IF(SUMPRODUCT(('Matriz Criterios'!$H$26:$S$26="X")*ISNUMBER('Registro Notas'!$D16:$O16))=0, "-", SUMPRODUCT(('Matriz Criterios'!$H$26:$S$26="X")*ISNUMBER('Registro Notas'!$D16:$O16)*'Registro Notas'!$D16:$O16)/SUMPRODUCT(('Matriz Criterios'!$H$26:$S$26="X")*ISNUMBER('Registro Notas'!$D16:$O16)))</f>
        <v/>
      </c>
      <c r="X16" s="38">
        <f>IF(SUMPRODUCT(('Matriz Criterios'!$H$27:$S$27="X")*ISNUMBER('Registro Notas'!$D16:$O16))=0, "-", SUMPRODUCT(('Matriz Criterios'!$H$27:$S$27="X")*ISNUMBER('Registro Notas'!$D16:$O16)*'Registro Notas'!$D16:$O16)/SUMPRODUCT(('Matriz Criterios'!$H$27:$S$27="X")*ISNUMBER('Registro Notas'!$D16:$O16)))</f>
        <v/>
      </c>
      <c r="Y16" s="38">
        <f>IF(SUMPRODUCT(('Matriz Criterios'!$H$28:$S$28="X")*ISNUMBER('Registro Notas'!$D16:$O16))=0, "-", SUMPRODUCT(('Matriz Criterios'!$H$28:$S$28="X")*ISNUMBER('Registro Notas'!$D16:$O16)*'Registro Notas'!$D16:$O16)/SUMPRODUCT(('Matriz Criterios'!$H$28:$S$28="X")*ISNUMBER('Registro Notas'!$D16:$O16)))</f>
        <v/>
      </c>
      <c r="Z16" s="38">
        <f>IF(SUMPRODUCT(('Matriz Criterios'!$H$29:$S$29="X")*ISNUMBER('Registro Notas'!$D16:$O16))=0, "-", SUMPRODUCT(('Matriz Criterios'!$H$29:$S$29="X")*ISNUMBER('Registro Notas'!$D16:$O16)*'Registro Notas'!$D16:$O16)/SUMPRODUCT(('Matriz Criterios'!$H$29:$S$29="X")*ISNUMBER('Registro Notas'!$D16:$O16)))</f>
        <v/>
      </c>
      <c r="AA16" s="38">
        <f>IF(SUMPRODUCT(('Matriz Criterios'!$H$30:$S$30="X")*ISNUMBER('Registro Notas'!$D16:$O16))=0, "-", SUMPRODUCT(('Matriz Criterios'!$H$30:$S$30="X")*ISNUMBER('Registro Notas'!$D16:$O16)*'Registro Notas'!$D16:$O16)/SUMPRODUCT(('Matriz Criterios'!$H$30:$S$30="X")*ISNUMBER('Registro Notas'!$D16:$O16)))</f>
        <v/>
      </c>
      <c r="AB16" s="38">
        <f>IF(SUMPRODUCT(('Matriz Criterios'!$H$31:$S$31="X")*ISNUMBER('Registro Notas'!$D16:$O16))=0, "-", SUMPRODUCT(('Matriz Criterios'!$H$31:$S$31="X")*ISNUMBER('Registro Notas'!$D16:$O16)*'Registro Notas'!$D16:$O16)/SUMPRODUCT(('Matriz Criterios'!$H$31:$S$31="X")*ISNUMBER('Registro Notas'!$D16:$O16)))</f>
        <v/>
      </c>
      <c r="AC16" s="38">
        <f>IF(SUMPRODUCT(('Matriz Criterios'!$H$32:$S$32="X")*ISNUMBER('Registro Notas'!$D16:$O16))=0, "-", SUMPRODUCT(('Matriz Criterios'!$H$32:$S$32="X")*ISNUMBER('Registro Notas'!$D16:$O16)*'Registro Notas'!$D16:$O16)/SUMPRODUCT(('Matriz Criterios'!$H$32:$S$32="X")*ISNUMBER('Registro Notas'!$D16:$O16)))</f>
        <v/>
      </c>
      <c r="AD16" s="38">
        <f>IF(SUMPRODUCT(('Matriz Criterios'!$H$33:$S$33="X")*ISNUMBER('Registro Notas'!$D16:$O16))=0, "-", SUMPRODUCT(('Matriz Criterios'!$H$33:$S$33="X")*ISNUMBER('Registro Notas'!$D16:$O16)*'Registro Notas'!$D16:$O16)/SUMPRODUCT(('Matriz Criterios'!$H$33:$S$33="X")*ISNUMBER('Registro Notas'!$D16:$O16)))</f>
        <v/>
      </c>
      <c r="AE16" s="38">
        <f>IF(SUMPRODUCT(('Matriz Criterios'!$H$34:$S$34="X")*ISNUMBER('Registro Notas'!$D16:$O16))=0, "-", SUMPRODUCT(('Matriz Criterios'!$H$34:$S$34="X")*ISNUMBER('Registro Notas'!$D16:$O16)*'Registro Notas'!$D16:$O16)/SUMPRODUCT(('Matriz Criterios'!$H$34:$S$34="X")*ISNUMBER('Registro Notas'!$D16:$O16)))</f>
        <v/>
      </c>
      <c r="AF16" s="38">
        <f>IF(SUMPRODUCT(('Matriz Criterios'!$H$35:$S$35="X")*ISNUMBER('Registro Notas'!$D16:$O16))=0, "-", SUMPRODUCT(('Matriz Criterios'!$H$35:$S$35="X")*ISNUMBER('Registro Notas'!$D16:$O16)*'Registro Notas'!$D16:$O16)/SUMPRODUCT(('Matriz Criterios'!$H$35:$S$35="X")*ISNUMBER('Registro Notas'!$D16:$O16)))</f>
        <v/>
      </c>
      <c r="AG16" s="38">
        <f>IF(SUMPRODUCT(('Matriz Criterios'!$H$36:$S$36="X")*ISNUMBER('Registro Notas'!$D16:$O16))=0, "-", SUMPRODUCT(('Matriz Criterios'!$H$36:$S$36="X")*ISNUMBER('Registro Notas'!$D16:$O16)*'Registro Notas'!$D16:$O16)/SUMPRODUCT(('Matriz Criterios'!$H$36:$S$36="X")*ISNUMBER('Registro Notas'!$D16:$O16)))</f>
        <v/>
      </c>
      <c r="AH16" s="38">
        <f>IF(SUMPRODUCT(('Matriz Criterios'!$H$37:$S$37="X")*ISNUMBER('Registro Notas'!$D16:$O16))=0, "-", SUMPRODUCT(('Matriz Criterios'!$H$37:$S$37="X")*ISNUMBER('Registro Notas'!$D16:$O16)*'Registro Notas'!$D16:$O16)/SUMPRODUCT(('Matriz Criterios'!$H$37:$S$37="X")*ISNUMBER('Registro Notas'!$D16:$O16)))</f>
        <v/>
      </c>
      <c r="AI16" s="38">
        <f>IF(SUMPRODUCT(('Matriz Criterios'!$H$38:$S$38="X")*ISNUMBER('Registro Notas'!$D16:$O16))=0, "-", SUMPRODUCT(('Matriz Criterios'!$H$38:$S$38="X")*ISNUMBER('Registro Notas'!$D16:$O16)*'Registro Notas'!$D16:$O16)/SUMPRODUCT(('Matriz Criterios'!$H$38:$S$38="X")*ISNUMBER('Registro Notas'!$D16:$O16)))</f>
        <v/>
      </c>
      <c r="AJ16" s="38">
        <f>IF(SUMPRODUCT(('Matriz Criterios'!$H$39:$S$39="X")*ISNUMBER('Registro Notas'!$D16:$O16))=0, "-", SUMPRODUCT(('Matriz Criterios'!$H$39:$S$39="X")*ISNUMBER('Registro Notas'!$D16:$O16)*'Registro Notas'!$D16:$O16)/SUMPRODUCT(('Matriz Criterios'!$H$39:$S$39="X")*ISNUMBER('Registro Notas'!$D16:$O16)))</f>
        <v/>
      </c>
      <c r="AK16" s="42">
        <f>AVERAGE(C16:AJ16)</f>
        <v/>
      </c>
      <c r="AL16" s="53">
        <f>COUNTIF(C16:AJ16, "&gt;=5")</f>
        <v/>
      </c>
    </row>
    <row r="17" ht="20" customHeight="1">
      <c r="A17" s="22" t="n">
        <v>12</v>
      </c>
      <c r="B17" s="43" t="inlineStr">
        <is>
          <t>Pérez Rubio, Álvaro</t>
        </is>
      </c>
      <c r="C17" s="44">
        <f>IF(SUMPRODUCT(('Matriz Criterios'!$H$6:$S$6="X")*ISNUMBER('Registro Notas'!$D17:$O17))=0, "-", SUMPRODUCT(('Matriz Criterios'!$H$6:$S$6="X")*ISNUMBER('Registro Notas'!$D17:$O17)*'Registro Notas'!$D17:$O17)/SUMPRODUCT(('Matriz Criterios'!$H$6:$S$6="X")*ISNUMBER('Registro Notas'!$D17:$O17)))</f>
        <v/>
      </c>
      <c r="D17" s="44">
        <f>IF(SUMPRODUCT(('Matriz Criterios'!$H$7:$S$7="X")*ISNUMBER('Registro Notas'!$D17:$O17))=0, "-", SUMPRODUCT(('Matriz Criterios'!$H$7:$S$7="X")*ISNUMBER('Registro Notas'!$D17:$O17)*'Registro Notas'!$D17:$O17)/SUMPRODUCT(('Matriz Criterios'!$H$7:$S$7="X")*ISNUMBER('Registro Notas'!$D17:$O17)))</f>
        <v/>
      </c>
      <c r="E17" s="44">
        <f>IF(SUMPRODUCT(('Matriz Criterios'!$H$8:$S$8="X")*ISNUMBER('Registro Notas'!$D17:$O17))=0, "-", SUMPRODUCT(('Matriz Criterios'!$H$8:$S$8="X")*ISNUMBER('Registro Notas'!$D17:$O17)*'Registro Notas'!$D17:$O17)/SUMPRODUCT(('Matriz Criterios'!$H$8:$S$8="X")*ISNUMBER('Registro Notas'!$D17:$O17)))</f>
        <v/>
      </c>
      <c r="F17" s="44">
        <f>IF(SUMPRODUCT(('Matriz Criterios'!$H$9:$S$9="X")*ISNUMBER('Registro Notas'!$D17:$O17))=0, "-", SUMPRODUCT(('Matriz Criterios'!$H$9:$S$9="X")*ISNUMBER('Registro Notas'!$D17:$O17)*'Registro Notas'!$D17:$O17)/SUMPRODUCT(('Matriz Criterios'!$H$9:$S$9="X")*ISNUMBER('Registro Notas'!$D17:$O17)))</f>
        <v/>
      </c>
      <c r="G17" s="44">
        <f>IF(SUMPRODUCT(('Matriz Criterios'!$H$10:$S$10="X")*ISNUMBER('Registro Notas'!$D17:$O17))=0, "-", SUMPRODUCT(('Matriz Criterios'!$H$10:$S$10="X")*ISNUMBER('Registro Notas'!$D17:$O17)*'Registro Notas'!$D17:$O17)/SUMPRODUCT(('Matriz Criterios'!$H$10:$S$10="X")*ISNUMBER('Registro Notas'!$D17:$O17)))</f>
        <v/>
      </c>
      <c r="H17" s="44">
        <f>IF(SUMPRODUCT(('Matriz Criterios'!$H$11:$S$11="X")*ISNUMBER('Registro Notas'!$D17:$O17))=0, "-", SUMPRODUCT(('Matriz Criterios'!$H$11:$S$11="X")*ISNUMBER('Registro Notas'!$D17:$O17)*'Registro Notas'!$D17:$O17)/SUMPRODUCT(('Matriz Criterios'!$H$11:$S$11="X")*ISNUMBER('Registro Notas'!$D17:$O17)))</f>
        <v/>
      </c>
      <c r="I17" s="44">
        <f>IF(SUMPRODUCT(('Matriz Criterios'!$H$12:$S$12="X")*ISNUMBER('Registro Notas'!$D17:$O17))=0, "-", SUMPRODUCT(('Matriz Criterios'!$H$12:$S$12="X")*ISNUMBER('Registro Notas'!$D17:$O17)*'Registro Notas'!$D17:$O17)/SUMPRODUCT(('Matriz Criterios'!$H$12:$S$12="X")*ISNUMBER('Registro Notas'!$D17:$O17)))</f>
        <v/>
      </c>
      <c r="J17" s="44">
        <f>IF(SUMPRODUCT(('Matriz Criterios'!$H$13:$S$13="X")*ISNUMBER('Registro Notas'!$D17:$O17))=0, "-", SUMPRODUCT(('Matriz Criterios'!$H$13:$S$13="X")*ISNUMBER('Registro Notas'!$D17:$O17)*'Registro Notas'!$D17:$O17)/SUMPRODUCT(('Matriz Criterios'!$H$13:$S$13="X")*ISNUMBER('Registro Notas'!$D17:$O17)))</f>
        <v/>
      </c>
      <c r="K17" s="44">
        <f>IF(SUMPRODUCT(('Matriz Criterios'!$H$14:$S$14="X")*ISNUMBER('Registro Notas'!$D17:$O17))=0, "-", SUMPRODUCT(('Matriz Criterios'!$H$14:$S$14="X")*ISNUMBER('Registro Notas'!$D17:$O17)*'Registro Notas'!$D17:$O17)/SUMPRODUCT(('Matriz Criterios'!$H$14:$S$14="X")*ISNUMBER('Registro Notas'!$D17:$O17)))</f>
        <v/>
      </c>
      <c r="L17" s="44">
        <f>IF(SUMPRODUCT(('Matriz Criterios'!$H$15:$S$15="X")*ISNUMBER('Registro Notas'!$D17:$O17))=0, "-", SUMPRODUCT(('Matriz Criterios'!$H$15:$S$15="X")*ISNUMBER('Registro Notas'!$D17:$O17)*'Registro Notas'!$D17:$O17)/SUMPRODUCT(('Matriz Criterios'!$H$15:$S$15="X")*ISNUMBER('Registro Notas'!$D17:$O17)))</f>
        <v/>
      </c>
      <c r="M17" s="44">
        <f>IF(SUMPRODUCT(('Matriz Criterios'!$H$16:$S$16="X")*ISNUMBER('Registro Notas'!$D17:$O17))=0, "-", SUMPRODUCT(('Matriz Criterios'!$H$16:$S$16="X")*ISNUMBER('Registro Notas'!$D17:$O17)*'Registro Notas'!$D17:$O17)/SUMPRODUCT(('Matriz Criterios'!$H$16:$S$16="X")*ISNUMBER('Registro Notas'!$D17:$O17)))</f>
        <v/>
      </c>
      <c r="N17" s="44">
        <f>IF(SUMPRODUCT(('Matriz Criterios'!$H$17:$S$17="X")*ISNUMBER('Registro Notas'!$D17:$O17))=0, "-", SUMPRODUCT(('Matriz Criterios'!$H$17:$S$17="X")*ISNUMBER('Registro Notas'!$D17:$O17)*'Registro Notas'!$D17:$O17)/SUMPRODUCT(('Matriz Criterios'!$H$17:$S$17="X")*ISNUMBER('Registro Notas'!$D17:$O17)))</f>
        <v/>
      </c>
      <c r="O17" s="44">
        <f>IF(SUMPRODUCT(('Matriz Criterios'!$H$18:$S$18="X")*ISNUMBER('Registro Notas'!$D17:$O17))=0, "-", SUMPRODUCT(('Matriz Criterios'!$H$18:$S$18="X")*ISNUMBER('Registro Notas'!$D17:$O17)*'Registro Notas'!$D17:$O17)/SUMPRODUCT(('Matriz Criterios'!$H$18:$S$18="X")*ISNUMBER('Registro Notas'!$D17:$O17)))</f>
        <v/>
      </c>
      <c r="P17" s="44">
        <f>IF(SUMPRODUCT(('Matriz Criterios'!$H$19:$S$19="X")*ISNUMBER('Registro Notas'!$D17:$O17))=0, "-", SUMPRODUCT(('Matriz Criterios'!$H$19:$S$19="X")*ISNUMBER('Registro Notas'!$D17:$O17)*'Registro Notas'!$D17:$O17)/SUMPRODUCT(('Matriz Criterios'!$H$19:$S$19="X")*ISNUMBER('Registro Notas'!$D17:$O17)))</f>
        <v/>
      </c>
      <c r="Q17" s="44">
        <f>IF(SUMPRODUCT(('Matriz Criterios'!$H$20:$S$20="X")*ISNUMBER('Registro Notas'!$D17:$O17))=0, "-", SUMPRODUCT(('Matriz Criterios'!$H$20:$S$20="X")*ISNUMBER('Registro Notas'!$D17:$O17)*'Registro Notas'!$D17:$O17)/SUMPRODUCT(('Matriz Criterios'!$H$20:$S$20="X")*ISNUMBER('Registro Notas'!$D17:$O17)))</f>
        <v/>
      </c>
      <c r="R17" s="44">
        <f>IF(SUMPRODUCT(('Matriz Criterios'!$H$21:$S$21="X")*ISNUMBER('Registro Notas'!$D17:$O17))=0, "-", SUMPRODUCT(('Matriz Criterios'!$H$21:$S$21="X")*ISNUMBER('Registro Notas'!$D17:$O17)*'Registro Notas'!$D17:$O17)/SUMPRODUCT(('Matriz Criterios'!$H$21:$S$21="X")*ISNUMBER('Registro Notas'!$D17:$O17)))</f>
        <v/>
      </c>
      <c r="S17" s="44">
        <f>IF(SUMPRODUCT(('Matriz Criterios'!$H$22:$S$22="X")*ISNUMBER('Registro Notas'!$D17:$O17))=0, "-", SUMPRODUCT(('Matriz Criterios'!$H$22:$S$22="X")*ISNUMBER('Registro Notas'!$D17:$O17)*'Registro Notas'!$D17:$O17)/SUMPRODUCT(('Matriz Criterios'!$H$22:$S$22="X")*ISNUMBER('Registro Notas'!$D17:$O17)))</f>
        <v/>
      </c>
      <c r="T17" s="44">
        <f>IF(SUMPRODUCT(('Matriz Criterios'!$H$23:$S$23="X")*ISNUMBER('Registro Notas'!$D17:$O17))=0, "-", SUMPRODUCT(('Matriz Criterios'!$H$23:$S$23="X")*ISNUMBER('Registro Notas'!$D17:$O17)*'Registro Notas'!$D17:$O17)/SUMPRODUCT(('Matriz Criterios'!$H$23:$S$23="X")*ISNUMBER('Registro Notas'!$D17:$O17)))</f>
        <v/>
      </c>
      <c r="U17" s="44">
        <f>IF(SUMPRODUCT(('Matriz Criterios'!$H$24:$S$24="X")*ISNUMBER('Registro Notas'!$D17:$O17))=0, "-", SUMPRODUCT(('Matriz Criterios'!$H$24:$S$24="X")*ISNUMBER('Registro Notas'!$D17:$O17)*'Registro Notas'!$D17:$O17)/SUMPRODUCT(('Matriz Criterios'!$H$24:$S$24="X")*ISNUMBER('Registro Notas'!$D17:$O17)))</f>
        <v/>
      </c>
      <c r="V17" s="44">
        <f>IF(SUMPRODUCT(('Matriz Criterios'!$H$25:$S$25="X")*ISNUMBER('Registro Notas'!$D17:$O17))=0, "-", SUMPRODUCT(('Matriz Criterios'!$H$25:$S$25="X")*ISNUMBER('Registro Notas'!$D17:$O17)*'Registro Notas'!$D17:$O17)/SUMPRODUCT(('Matriz Criterios'!$H$25:$S$25="X")*ISNUMBER('Registro Notas'!$D17:$O17)))</f>
        <v/>
      </c>
      <c r="W17" s="44">
        <f>IF(SUMPRODUCT(('Matriz Criterios'!$H$26:$S$26="X")*ISNUMBER('Registro Notas'!$D17:$O17))=0, "-", SUMPRODUCT(('Matriz Criterios'!$H$26:$S$26="X")*ISNUMBER('Registro Notas'!$D17:$O17)*'Registro Notas'!$D17:$O17)/SUMPRODUCT(('Matriz Criterios'!$H$26:$S$26="X")*ISNUMBER('Registro Notas'!$D17:$O17)))</f>
        <v/>
      </c>
      <c r="X17" s="44">
        <f>IF(SUMPRODUCT(('Matriz Criterios'!$H$27:$S$27="X")*ISNUMBER('Registro Notas'!$D17:$O17))=0, "-", SUMPRODUCT(('Matriz Criterios'!$H$27:$S$27="X")*ISNUMBER('Registro Notas'!$D17:$O17)*'Registro Notas'!$D17:$O17)/SUMPRODUCT(('Matriz Criterios'!$H$27:$S$27="X")*ISNUMBER('Registro Notas'!$D17:$O17)))</f>
        <v/>
      </c>
      <c r="Y17" s="44">
        <f>IF(SUMPRODUCT(('Matriz Criterios'!$H$28:$S$28="X")*ISNUMBER('Registro Notas'!$D17:$O17))=0, "-", SUMPRODUCT(('Matriz Criterios'!$H$28:$S$28="X")*ISNUMBER('Registro Notas'!$D17:$O17)*'Registro Notas'!$D17:$O17)/SUMPRODUCT(('Matriz Criterios'!$H$28:$S$28="X")*ISNUMBER('Registro Notas'!$D17:$O17)))</f>
        <v/>
      </c>
      <c r="Z17" s="44">
        <f>IF(SUMPRODUCT(('Matriz Criterios'!$H$29:$S$29="X")*ISNUMBER('Registro Notas'!$D17:$O17))=0, "-", SUMPRODUCT(('Matriz Criterios'!$H$29:$S$29="X")*ISNUMBER('Registro Notas'!$D17:$O17)*'Registro Notas'!$D17:$O17)/SUMPRODUCT(('Matriz Criterios'!$H$29:$S$29="X")*ISNUMBER('Registro Notas'!$D17:$O17)))</f>
        <v/>
      </c>
      <c r="AA17" s="44">
        <f>IF(SUMPRODUCT(('Matriz Criterios'!$H$30:$S$30="X")*ISNUMBER('Registro Notas'!$D17:$O17))=0, "-", SUMPRODUCT(('Matriz Criterios'!$H$30:$S$30="X")*ISNUMBER('Registro Notas'!$D17:$O17)*'Registro Notas'!$D17:$O17)/SUMPRODUCT(('Matriz Criterios'!$H$30:$S$30="X")*ISNUMBER('Registro Notas'!$D17:$O17)))</f>
        <v/>
      </c>
      <c r="AB17" s="44">
        <f>IF(SUMPRODUCT(('Matriz Criterios'!$H$31:$S$31="X")*ISNUMBER('Registro Notas'!$D17:$O17))=0, "-", SUMPRODUCT(('Matriz Criterios'!$H$31:$S$31="X")*ISNUMBER('Registro Notas'!$D17:$O17)*'Registro Notas'!$D17:$O17)/SUMPRODUCT(('Matriz Criterios'!$H$31:$S$31="X")*ISNUMBER('Registro Notas'!$D17:$O17)))</f>
        <v/>
      </c>
      <c r="AC17" s="44">
        <f>IF(SUMPRODUCT(('Matriz Criterios'!$H$32:$S$32="X")*ISNUMBER('Registro Notas'!$D17:$O17))=0, "-", SUMPRODUCT(('Matriz Criterios'!$H$32:$S$32="X")*ISNUMBER('Registro Notas'!$D17:$O17)*'Registro Notas'!$D17:$O17)/SUMPRODUCT(('Matriz Criterios'!$H$32:$S$32="X")*ISNUMBER('Registro Notas'!$D17:$O17)))</f>
        <v/>
      </c>
      <c r="AD17" s="44">
        <f>IF(SUMPRODUCT(('Matriz Criterios'!$H$33:$S$33="X")*ISNUMBER('Registro Notas'!$D17:$O17))=0, "-", SUMPRODUCT(('Matriz Criterios'!$H$33:$S$33="X")*ISNUMBER('Registro Notas'!$D17:$O17)*'Registro Notas'!$D17:$O17)/SUMPRODUCT(('Matriz Criterios'!$H$33:$S$33="X")*ISNUMBER('Registro Notas'!$D17:$O17)))</f>
        <v/>
      </c>
      <c r="AE17" s="44">
        <f>IF(SUMPRODUCT(('Matriz Criterios'!$H$34:$S$34="X")*ISNUMBER('Registro Notas'!$D17:$O17))=0, "-", SUMPRODUCT(('Matriz Criterios'!$H$34:$S$34="X")*ISNUMBER('Registro Notas'!$D17:$O17)*'Registro Notas'!$D17:$O17)/SUMPRODUCT(('Matriz Criterios'!$H$34:$S$34="X")*ISNUMBER('Registro Notas'!$D17:$O17)))</f>
        <v/>
      </c>
      <c r="AF17" s="44">
        <f>IF(SUMPRODUCT(('Matriz Criterios'!$H$35:$S$35="X")*ISNUMBER('Registro Notas'!$D17:$O17))=0, "-", SUMPRODUCT(('Matriz Criterios'!$H$35:$S$35="X")*ISNUMBER('Registro Notas'!$D17:$O17)*'Registro Notas'!$D17:$O17)/SUMPRODUCT(('Matriz Criterios'!$H$35:$S$35="X")*ISNUMBER('Registro Notas'!$D17:$O17)))</f>
        <v/>
      </c>
      <c r="AG17" s="44">
        <f>IF(SUMPRODUCT(('Matriz Criterios'!$H$36:$S$36="X")*ISNUMBER('Registro Notas'!$D17:$O17))=0, "-", SUMPRODUCT(('Matriz Criterios'!$H$36:$S$36="X")*ISNUMBER('Registro Notas'!$D17:$O17)*'Registro Notas'!$D17:$O17)/SUMPRODUCT(('Matriz Criterios'!$H$36:$S$36="X")*ISNUMBER('Registro Notas'!$D17:$O17)))</f>
        <v/>
      </c>
      <c r="AH17" s="44">
        <f>IF(SUMPRODUCT(('Matriz Criterios'!$H$37:$S$37="X")*ISNUMBER('Registro Notas'!$D17:$O17))=0, "-", SUMPRODUCT(('Matriz Criterios'!$H$37:$S$37="X")*ISNUMBER('Registro Notas'!$D17:$O17)*'Registro Notas'!$D17:$O17)/SUMPRODUCT(('Matriz Criterios'!$H$37:$S$37="X")*ISNUMBER('Registro Notas'!$D17:$O17)))</f>
        <v/>
      </c>
      <c r="AI17" s="44">
        <f>IF(SUMPRODUCT(('Matriz Criterios'!$H$38:$S$38="X")*ISNUMBER('Registro Notas'!$D17:$O17))=0, "-", SUMPRODUCT(('Matriz Criterios'!$H$38:$S$38="X")*ISNUMBER('Registro Notas'!$D17:$O17)*'Registro Notas'!$D17:$O17)/SUMPRODUCT(('Matriz Criterios'!$H$38:$S$38="X")*ISNUMBER('Registro Notas'!$D17:$O17)))</f>
        <v/>
      </c>
      <c r="AJ17" s="44">
        <f>IF(SUMPRODUCT(('Matriz Criterios'!$H$39:$S$39="X")*ISNUMBER('Registro Notas'!$D17:$O17))=0, "-", SUMPRODUCT(('Matriz Criterios'!$H$39:$S$39="X")*ISNUMBER('Registro Notas'!$D17:$O17)*'Registro Notas'!$D17:$O17)/SUMPRODUCT(('Matriz Criterios'!$H$39:$S$39="X")*ISNUMBER('Registro Notas'!$D17:$O17)))</f>
        <v/>
      </c>
      <c r="AK17" s="42">
        <f>AVERAGE(C17:AJ17)</f>
        <v/>
      </c>
      <c r="AL17" s="53">
        <f>COUNTIF(C17:AJ17, "&gt;=5")</f>
        <v/>
      </c>
    </row>
    <row r="18" ht="20" customHeight="1">
      <c r="A18" s="15" t="n">
        <v>13</v>
      </c>
      <c r="B18" s="37" t="inlineStr">
        <is>
          <t>Ramírez Soto, Carmen</t>
        </is>
      </c>
      <c r="C18" s="38">
        <f>IF(SUMPRODUCT(('Matriz Criterios'!$H$6:$S$6="X")*ISNUMBER('Registro Notas'!$D18:$O18))=0, "-", SUMPRODUCT(('Matriz Criterios'!$H$6:$S$6="X")*ISNUMBER('Registro Notas'!$D18:$O18)*'Registro Notas'!$D18:$O18)/SUMPRODUCT(('Matriz Criterios'!$H$6:$S$6="X")*ISNUMBER('Registro Notas'!$D18:$O18)))</f>
        <v/>
      </c>
      <c r="D18" s="38">
        <f>IF(SUMPRODUCT(('Matriz Criterios'!$H$7:$S$7="X")*ISNUMBER('Registro Notas'!$D18:$O18))=0, "-", SUMPRODUCT(('Matriz Criterios'!$H$7:$S$7="X")*ISNUMBER('Registro Notas'!$D18:$O18)*'Registro Notas'!$D18:$O18)/SUMPRODUCT(('Matriz Criterios'!$H$7:$S$7="X")*ISNUMBER('Registro Notas'!$D18:$O18)))</f>
        <v/>
      </c>
      <c r="E18" s="38">
        <f>IF(SUMPRODUCT(('Matriz Criterios'!$H$8:$S$8="X")*ISNUMBER('Registro Notas'!$D18:$O18))=0, "-", SUMPRODUCT(('Matriz Criterios'!$H$8:$S$8="X")*ISNUMBER('Registro Notas'!$D18:$O18)*'Registro Notas'!$D18:$O18)/SUMPRODUCT(('Matriz Criterios'!$H$8:$S$8="X")*ISNUMBER('Registro Notas'!$D18:$O18)))</f>
        <v/>
      </c>
      <c r="F18" s="38">
        <f>IF(SUMPRODUCT(('Matriz Criterios'!$H$9:$S$9="X")*ISNUMBER('Registro Notas'!$D18:$O18))=0, "-", SUMPRODUCT(('Matriz Criterios'!$H$9:$S$9="X")*ISNUMBER('Registro Notas'!$D18:$O18)*'Registro Notas'!$D18:$O18)/SUMPRODUCT(('Matriz Criterios'!$H$9:$S$9="X")*ISNUMBER('Registro Notas'!$D18:$O18)))</f>
        <v/>
      </c>
      <c r="G18" s="38">
        <f>IF(SUMPRODUCT(('Matriz Criterios'!$H$10:$S$10="X")*ISNUMBER('Registro Notas'!$D18:$O18))=0, "-", SUMPRODUCT(('Matriz Criterios'!$H$10:$S$10="X")*ISNUMBER('Registro Notas'!$D18:$O18)*'Registro Notas'!$D18:$O18)/SUMPRODUCT(('Matriz Criterios'!$H$10:$S$10="X")*ISNUMBER('Registro Notas'!$D18:$O18)))</f>
        <v/>
      </c>
      <c r="H18" s="38">
        <f>IF(SUMPRODUCT(('Matriz Criterios'!$H$11:$S$11="X")*ISNUMBER('Registro Notas'!$D18:$O18))=0, "-", SUMPRODUCT(('Matriz Criterios'!$H$11:$S$11="X")*ISNUMBER('Registro Notas'!$D18:$O18)*'Registro Notas'!$D18:$O18)/SUMPRODUCT(('Matriz Criterios'!$H$11:$S$11="X")*ISNUMBER('Registro Notas'!$D18:$O18)))</f>
        <v/>
      </c>
      <c r="I18" s="38">
        <f>IF(SUMPRODUCT(('Matriz Criterios'!$H$12:$S$12="X")*ISNUMBER('Registro Notas'!$D18:$O18))=0, "-", SUMPRODUCT(('Matriz Criterios'!$H$12:$S$12="X")*ISNUMBER('Registro Notas'!$D18:$O18)*'Registro Notas'!$D18:$O18)/SUMPRODUCT(('Matriz Criterios'!$H$12:$S$12="X")*ISNUMBER('Registro Notas'!$D18:$O18)))</f>
        <v/>
      </c>
      <c r="J18" s="38">
        <f>IF(SUMPRODUCT(('Matriz Criterios'!$H$13:$S$13="X")*ISNUMBER('Registro Notas'!$D18:$O18))=0, "-", SUMPRODUCT(('Matriz Criterios'!$H$13:$S$13="X")*ISNUMBER('Registro Notas'!$D18:$O18)*'Registro Notas'!$D18:$O18)/SUMPRODUCT(('Matriz Criterios'!$H$13:$S$13="X")*ISNUMBER('Registro Notas'!$D18:$O18)))</f>
        <v/>
      </c>
      <c r="K18" s="38">
        <f>IF(SUMPRODUCT(('Matriz Criterios'!$H$14:$S$14="X")*ISNUMBER('Registro Notas'!$D18:$O18))=0, "-", SUMPRODUCT(('Matriz Criterios'!$H$14:$S$14="X")*ISNUMBER('Registro Notas'!$D18:$O18)*'Registro Notas'!$D18:$O18)/SUMPRODUCT(('Matriz Criterios'!$H$14:$S$14="X")*ISNUMBER('Registro Notas'!$D18:$O18)))</f>
        <v/>
      </c>
      <c r="L18" s="38">
        <f>IF(SUMPRODUCT(('Matriz Criterios'!$H$15:$S$15="X")*ISNUMBER('Registro Notas'!$D18:$O18))=0, "-", SUMPRODUCT(('Matriz Criterios'!$H$15:$S$15="X")*ISNUMBER('Registro Notas'!$D18:$O18)*'Registro Notas'!$D18:$O18)/SUMPRODUCT(('Matriz Criterios'!$H$15:$S$15="X")*ISNUMBER('Registro Notas'!$D18:$O18)))</f>
        <v/>
      </c>
      <c r="M18" s="38">
        <f>IF(SUMPRODUCT(('Matriz Criterios'!$H$16:$S$16="X")*ISNUMBER('Registro Notas'!$D18:$O18))=0, "-", SUMPRODUCT(('Matriz Criterios'!$H$16:$S$16="X")*ISNUMBER('Registro Notas'!$D18:$O18)*'Registro Notas'!$D18:$O18)/SUMPRODUCT(('Matriz Criterios'!$H$16:$S$16="X")*ISNUMBER('Registro Notas'!$D18:$O18)))</f>
        <v/>
      </c>
      <c r="N18" s="38">
        <f>IF(SUMPRODUCT(('Matriz Criterios'!$H$17:$S$17="X")*ISNUMBER('Registro Notas'!$D18:$O18))=0, "-", SUMPRODUCT(('Matriz Criterios'!$H$17:$S$17="X")*ISNUMBER('Registro Notas'!$D18:$O18)*'Registro Notas'!$D18:$O18)/SUMPRODUCT(('Matriz Criterios'!$H$17:$S$17="X")*ISNUMBER('Registro Notas'!$D18:$O18)))</f>
        <v/>
      </c>
      <c r="O18" s="38">
        <f>IF(SUMPRODUCT(('Matriz Criterios'!$H$18:$S$18="X")*ISNUMBER('Registro Notas'!$D18:$O18))=0, "-", SUMPRODUCT(('Matriz Criterios'!$H$18:$S$18="X")*ISNUMBER('Registro Notas'!$D18:$O18)*'Registro Notas'!$D18:$O18)/SUMPRODUCT(('Matriz Criterios'!$H$18:$S$18="X")*ISNUMBER('Registro Notas'!$D18:$O18)))</f>
        <v/>
      </c>
      <c r="P18" s="38">
        <f>IF(SUMPRODUCT(('Matriz Criterios'!$H$19:$S$19="X")*ISNUMBER('Registro Notas'!$D18:$O18))=0, "-", SUMPRODUCT(('Matriz Criterios'!$H$19:$S$19="X")*ISNUMBER('Registro Notas'!$D18:$O18)*'Registro Notas'!$D18:$O18)/SUMPRODUCT(('Matriz Criterios'!$H$19:$S$19="X")*ISNUMBER('Registro Notas'!$D18:$O18)))</f>
        <v/>
      </c>
      <c r="Q18" s="38">
        <f>IF(SUMPRODUCT(('Matriz Criterios'!$H$20:$S$20="X")*ISNUMBER('Registro Notas'!$D18:$O18))=0, "-", SUMPRODUCT(('Matriz Criterios'!$H$20:$S$20="X")*ISNUMBER('Registro Notas'!$D18:$O18)*'Registro Notas'!$D18:$O18)/SUMPRODUCT(('Matriz Criterios'!$H$20:$S$20="X")*ISNUMBER('Registro Notas'!$D18:$O18)))</f>
        <v/>
      </c>
      <c r="R18" s="38">
        <f>IF(SUMPRODUCT(('Matriz Criterios'!$H$21:$S$21="X")*ISNUMBER('Registro Notas'!$D18:$O18))=0, "-", SUMPRODUCT(('Matriz Criterios'!$H$21:$S$21="X")*ISNUMBER('Registro Notas'!$D18:$O18)*'Registro Notas'!$D18:$O18)/SUMPRODUCT(('Matriz Criterios'!$H$21:$S$21="X")*ISNUMBER('Registro Notas'!$D18:$O18)))</f>
        <v/>
      </c>
      <c r="S18" s="38">
        <f>IF(SUMPRODUCT(('Matriz Criterios'!$H$22:$S$22="X")*ISNUMBER('Registro Notas'!$D18:$O18))=0, "-", SUMPRODUCT(('Matriz Criterios'!$H$22:$S$22="X")*ISNUMBER('Registro Notas'!$D18:$O18)*'Registro Notas'!$D18:$O18)/SUMPRODUCT(('Matriz Criterios'!$H$22:$S$22="X")*ISNUMBER('Registro Notas'!$D18:$O18)))</f>
        <v/>
      </c>
      <c r="T18" s="38">
        <f>IF(SUMPRODUCT(('Matriz Criterios'!$H$23:$S$23="X")*ISNUMBER('Registro Notas'!$D18:$O18))=0, "-", SUMPRODUCT(('Matriz Criterios'!$H$23:$S$23="X")*ISNUMBER('Registro Notas'!$D18:$O18)*'Registro Notas'!$D18:$O18)/SUMPRODUCT(('Matriz Criterios'!$H$23:$S$23="X")*ISNUMBER('Registro Notas'!$D18:$O18)))</f>
        <v/>
      </c>
      <c r="U18" s="38">
        <f>IF(SUMPRODUCT(('Matriz Criterios'!$H$24:$S$24="X")*ISNUMBER('Registro Notas'!$D18:$O18))=0, "-", SUMPRODUCT(('Matriz Criterios'!$H$24:$S$24="X")*ISNUMBER('Registro Notas'!$D18:$O18)*'Registro Notas'!$D18:$O18)/SUMPRODUCT(('Matriz Criterios'!$H$24:$S$24="X")*ISNUMBER('Registro Notas'!$D18:$O18)))</f>
        <v/>
      </c>
      <c r="V18" s="38">
        <f>IF(SUMPRODUCT(('Matriz Criterios'!$H$25:$S$25="X")*ISNUMBER('Registro Notas'!$D18:$O18))=0, "-", SUMPRODUCT(('Matriz Criterios'!$H$25:$S$25="X")*ISNUMBER('Registro Notas'!$D18:$O18)*'Registro Notas'!$D18:$O18)/SUMPRODUCT(('Matriz Criterios'!$H$25:$S$25="X")*ISNUMBER('Registro Notas'!$D18:$O18)))</f>
        <v/>
      </c>
      <c r="W18" s="38">
        <f>IF(SUMPRODUCT(('Matriz Criterios'!$H$26:$S$26="X")*ISNUMBER('Registro Notas'!$D18:$O18))=0, "-", SUMPRODUCT(('Matriz Criterios'!$H$26:$S$26="X")*ISNUMBER('Registro Notas'!$D18:$O18)*'Registro Notas'!$D18:$O18)/SUMPRODUCT(('Matriz Criterios'!$H$26:$S$26="X")*ISNUMBER('Registro Notas'!$D18:$O18)))</f>
        <v/>
      </c>
      <c r="X18" s="38">
        <f>IF(SUMPRODUCT(('Matriz Criterios'!$H$27:$S$27="X")*ISNUMBER('Registro Notas'!$D18:$O18))=0, "-", SUMPRODUCT(('Matriz Criterios'!$H$27:$S$27="X")*ISNUMBER('Registro Notas'!$D18:$O18)*'Registro Notas'!$D18:$O18)/SUMPRODUCT(('Matriz Criterios'!$H$27:$S$27="X")*ISNUMBER('Registro Notas'!$D18:$O18)))</f>
        <v/>
      </c>
      <c r="Y18" s="38">
        <f>IF(SUMPRODUCT(('Matriz Criterios'!$H$28:$S$28="X")*ISNUMBER('Registro Notas'!$D18:$O18))=0, "-", SUMPRODUCT(('Matriz Criterios'!$H$28:$S$28="X")*ISNUMBER('Registro Notas'!$D18:$O18)*'Registro Notas'!$D18:$O18)/SUMPRODUCT(('Matriz Criterios'!$H$28:$S$28="X")*ISNUMBER('Registro Notas'!$D18:$O18)))</f>
        <v/>
      </c>
      <c r="Z18" s="38">
        <f>IF(SUMPRODUCT(('Matriz Criterios'!$H$29:$S$29="X")*ISNUMBER('Registro Notas'!$D18:$O18))=0, "-", SUMPRODUCT(('Matriz Criterios'!$H$29:$S$29="X")*ISNUMBER('Registro Notas'!$D18:$O18)*'Registro Notas'!$D18:$O18)/SUMPRODUCT(('Matriz Criterios'!$H$29:$S$29="X")*ISNUMBER('Registro Notas'!$D18:$O18)))</f>
        <v/>
      </c>
      <c r="AA18" s="38">
        <f>IF(SUMPRODUCT(('Matriz Criterios'!$H$30:$S$30="X")*ISNUMBER('Registro Notas'!$D18:$O18))=0, "-", SUMPRODUCT(('Matriz Criterios'!$H$30:$S$30="X")*ISNUMBER('Registro Notas'!$D18:$O18)*'Registro Notas'!$D18:$O18)/SUMPRODUCT(('Matriz Criterios'!$H$30:$S$30="X")*ISNUMBER('Registro Notas'!$D18:$O18)))</f>
        <v/>
      </c>
      <c r="AB18" s="38">
        <f>IF(SUMPRODUCT(('Matriz Criterios'!$H$31:$S$31="X")*ISNUMBER('Registro Notas'!$D18:$O18))=0, "-", SUMPRODUCT(('Matriz Criterios'!$H$31:$S$31="X")*ISNUMBER('Registro Notas'!$D18:$O18)*'Registro Notas'!$D18:$O18)/SUMPRODUCT(('Matriz Criterios'!$H$31:$S$31="X")*ISNUMBER('Registro Notas'!$D18:$O18)))</f>
        <v/>
      </c>
      <c r="AC18" s="38">
        <f>IF(SUMPRODUCT(('Matriz Criterios'!$H$32:$S$32="X")*ISNUMBER('Registro Notas'!$D18:$O18))=0, "-", SUMPRODUCT(('Matriz Criterios'!$H$32:$S$32="X")*ISNUMBER('Registro Notas'!$D18:$O18)*'Registro Notas'!$D18:$O18)/SUMPRODUCT(('Matriz Criterios'!$H$32:$S$32="X")*ISNUMBER('Registro Notas'!$D18:$O18)))</f>
        <v/>
      </c>
      <c r="AD18" s="38">
        <f>IF(SUMPRODUCT(('Matriz Criterios'!$H$33:$S$33="X")*ISNUMBER('Registro Notas'!$D18:$O18))=0, "-", SUMPRODUCT(('Matriz Criterios'!$H$33:$S$33="X")*ISNUMBER('Registro Notas'!$D18:$O18)*'Registro Notas'!$D18:$O18)/SUMPRODUCT(('Matriz Criterios'!$H$33:$S$33="X")*ISNUMBER('Registro Notas'!$D18:$O18)))</f>
        <v/>
      </c>
      <c r="AE18" s="38">
        <f>IF(SUMPRODUCT(('Matriz Criterios'!$H$34:$S$34="X")*ISNUMBER('Registro Notas'!$D18:$O18))=0, "-", SUMPRODUCT(('Matriz Criterios'!$H$34:$S$34="X")*ISNUMBER('Registro Notas'!$D18:$O18)*'Registro Notas'!$D18:$O18)/SUMPRODUCT(('Matriz Criterios'!$H$34:$S$34="X")*ISNUMBER('Registro Notas'!$D18:$O18)))</f>
        <v/>
      </c>
      <c r="AF18" s="38">
        <f>IF(SUMPRODUCT(('Matriz Criterios'!$H$35:$S$35="X")*ISNUMBER('Registro Notas'!$D18:$O18))=0, "-", SUMPRODUCT(('Matriz Criterios'!$H$35:$S$35="X")*ISNUMBER('Registro Notas'!$D18:$O18)*'Registro Notas'!$D18:$O18)/SUMPRODUCT(('Matriz Criterios'!$H$35:$S$35="X")*ISNUMBER('Registro Notas'!$D18:$O18)))</f>
        <v/>
      </c>
      <c r="AG18" s="38">
        <f>IF(SUMPRODUCT(('Matriz Criterios'!$H$36:$S$36="X")*ISNUMBER('Registro Notas'!$D18:$O18))=0, "-", SUMPRODUCT(('Matriz Criterios'!$H$36:$S$36="X")*ISNUMBER('Registro Notas'!$D18:$O18)*'Registro Notas'!$D18:$O18)/SUMPRODUCT(('Matriz Criterios'!$H$36:$S$36="X")*ISNUMBER('Registro Notas'!$D18:$O18)))</f>
        <v/>
      </c>
      <c r="AH18" s="38">
        <f>IF(SUMPRODUCT(('Matriz Criterios'!$H$37:$S$37="X")*ISNUMBER('Registro Notas'!$D18:$O18))=0, "-", SUMPRODUCT(('Matriz Criterios'!$H$37:$S$37="X")*ISNUMBER('Registro Notas'!$D18:$O18)*'Registro Notas'!$D18:$O18)/SUMPRODUCT(('Matriz Criterios'!$H$37:$S$37="X")*ISNUMBER('Registro Notas'!$D18:$O18)))</f>
        <v/>
      </c>
      <c r="AI18" s="38">
        <f>IF(SUMPRODUCT(('Matriz Criterios'!$H$38:$S$38="X")*ISNUMBER('Registro Notas'!$D18:$O18))=0, "-", SUMPRODUCT(('Matriz Criterios'!$H$38:$S$38="X")*ISNUMBER('Registro Notas'!$D18:$O18)*'Registro Notas'!$D18:$O18)/SUMPRODUCT(('Matriz Criterios'!$H$38:$S$38="X")*ISNUMBER('Registro Notas'!$D18:$O18)))</f>
        <v/>
      </c>
      <c r="AJ18" s="38">
        <f>IF(SUMPRODUCT(('Matriz Criterios'!$H$39:$S$39="X")*ISNUMBER('Registro Notas'!$D18:$O18))=0, "-", SUMPRODUCT(('Matriz Criterios'!$H$39:$S$39="X")*ISNUMBER('Registro Notas'!$D18:$O18)*'Registro Notas'!$D18:$O18)/SUMPRODUCT(('Matriz Criterios'!$H$39:$S$39="X")*ISNUMBER('Registro Notas'!$D18:$O18)))</f>
        <v/>
      </c>
      <c r="AK18" s="42">
        <f>AVERAGE(C18:AJ18)</f>
        <v/>
      </c>
      <c r="AL18" s="53">
        <f>COUNTIF(C18:AJ18, "&gt;=5")</f>
        <v/>
      </c>
    </row>
    <row r="19" ht="20" customHeight="1">
      <c r="A19" s="22" t="n">
        <v>14</v>
      </c>
      <c r="B19" s="43" t="inlineStr">
        <is>
          <t>Sánchez Vidal, Daniel</t>
        </is>
      </c>
      <c r="C19" s="44">
        <f>IF(SUMPRODUCT(('Matriz Criterios'!$H$6:$S$6="X")*ISNUMBER('Registro Notas'!$D19:$O19))=0, "-", SUMPRODUCT(('Matriz Criterios'!$H$6:$S$6="X")*ISNUMBER('Registro Notas'!$D19:$O19)*'Registro Notas'!$D19:$O19)/SUMPRODUCT(('Matriz Criterios'!$H$6:$S$6="X")*ISNUMBER('Registro Notas'!$D19:$O19)))</f>
        <v/>
      </c>
      <c r="D19" s="44">
        <f>IF(SUMPRODUCT(('Matriz Criterios'!$H$7:$S$7="X")*ISNUMBER('Registro Notas'!$D19:$O19))=0, "-", SUMPRODUCT(('Matriz Criterios'!$H$7:$S$7="X")*ISNUMBER('Registro Notas'!$D19:$O19)*'Registro Notas'!$D19:$O19)/SUMPRODUCT(('Matriz Criterios'!$H$7:$S$7="X")*ISNUMBER('Registro Notas'!$D19:$O19)))</f>
        <v/>
      </c>
      <c r="E19" s="44">
        <f>IF(SUMPRODUCT(('Matriz Criterios'!$H$8:$S$8="X")*ISNUMBER('Registro Notas'!$D19:$O19))=0, "-", SUMPRODUCT(('Matriz Criterios'!$H$8:$S$8="X")*ISNUMBER('Registro Notas'!$D19:$O19)*'Registro Notas'!$D19:$O19)/SUMPRODUCT(('Matriz Criterios'!$H$8:$S$8="X")*ISNUMBER('Registro Notas'!$D19:$O19)))</f>
        <v/>
      </c>
      <c r="F19" s="44">
        <f>IF(SUMPRODUCT(('Matriz Criterios'!$H$9:$S$9="X")*ISNUMBER('Registro Notas'!$D19:$O19))=0, "-", SUMPRODUCT(('Matriz Criterios'!$H$9:$S$9="X")*ISNUMBER('Registro Notas'!$D19:$O19)*'Registro Notas'!$D19:$O19)/SUMPRODUCT(('Matriz Criterios'!$H$9:$S$9="X")*ISNUMBER('Registro Notas'!$D19:$O19)))</f>
        <v/>
      </c>
      <c r="G19" s="44">
        <f>IF(SUMPRODUCT(('Matriz Criterios'!$H$10:$S$10="X")*ISNUMBER('Registro Notas'!$D19:$O19))=0, "-", SUMPRODUCT(('Matriz Criterios'!$H$10:$S$10="X")*ISNUMBER('Registro Notas'!$D19:$O19)*'Registro Notas'!$D19:$O19)/SUMPRODUCT(('Matriz Criterios'!$H$10:$S$10="X")*ISNUMBER('Registro Notas'!$D19:$O19)))</f>
        <v/>
      </c>
      <c r="H19" s="44">
        <f>IF(SUMPRODUCT(('Matriz Criterios'!$H$11:$S$11="X")*ISNUMBER('Registro Notas'!$D19:$O19))=0, "-", SUMPRODUCT(('Matriz Criterios'!$H$11:$S$11="X")*ISNUMBER('Registro Notas'!$D19:$O19)*'Registro Notas'!$D19:$O19)/SUMPRODUCT(('Matriz Criterios'!$H$11:$S$11="X")*ISNUMBER('Registro Notas'!$D19:$O19)))</f>
        <v/>
      </c>
      <c r="I19" s="44">
        <f>IF(SUMPRODUCT(('Matriz Criterios'!$H$12:$S$12="X")*ISNUMBER('Registro Notas'!$D19:$O19))=0, "-", SUMPRODUCT(('Matriz Criterios'!$H$12:$S$12="X")*ISNUMBER('Registro Notas'!$D19:$O19)*'Registro Notas'!$D19:$O19)/SUMPRODUCT(('Matriz Criterios'!$H$12:$S$12="X")*ISNUMBER('Registro Notas'!$D19:$O19)))</f>
        <v/>
      </c>
      <c r="J19" s="44">
        <f>IF(SUMPRODUCT(('Matriz Criterios'!$H$13:$S$13="X")*ISNUMBER('Registro Notas'!$D19:$O19))=0, "-", SUMPRODUCT(('Matriz Criterios'!$H$13:$S$13="X")*ISNUMBER('Registro Notas'!$D19:$O19)*'Registro Notas'!$D19:$O19)/SUMPRODUCT(('Matriz Criterios'!$H$13:$S$13="X")*ISNUMBER('Registro Notas'!$D19:$O19)))</f>
        <v/>
      </c>
      <c r="K19" s="44">
        <f>IF(SUMPRODUCT(('Matriz Criterios'!$H$14:$S$14="X")*ISNUMBER('Registro Notas'!$D19:$O19))=0, "-", SUMPRODUCT(('Matriz Criterios'!$H$14:$S$14="X")*ISNUMBER('Registro Notas'!$D19:$O19)*'Registro Notas'!$D19:$O19)/SUMPRODUCT(('Matriz Criterios'!$H$14:$S$14="X")*ISNUMBER('Registro Notas'!$D19:$O19)))</f>
        <v/>
      </c>
      <c r="L19" s="44">
        <f>IF(SUMPRODUCT(('Matriz Criterios'!$H$15:$S$15="X")*ISNUMBER('Registro Notas'!$D19:$O19))=0, "-", SUMPRODUCT(('Matriz Criterios'!$H$15:$S$15="X")*ISNUMBER('Registro Notas'!$D19:$O19)*'Registro Notas'!$D19:$O19)/SUMPRODUCT(('Matriz Criterios'!$H$15:$S$15="X")*ISNUMBER('Registro Notas'!$D19:$O19)))</f>
        <v/>
      </c>
      <c r="M19" s="44">
        <f>IF(SUMPRODUCT(('Matriz Criterios'!$H$16:$S$16="X")*ISNUMBER('Registro Notas'!$D19:$O19))=0, "-", SUMPRODUCT(('Matriz Criterios'!$H$16:$S$16="X")*ISNUMBER('Registro Notas'!$D19:$O19)*'Registro Notas'!$D19:$O19)/SUMPRODUCT(('Matriz Criterios'!$H$16:$S$16="X")*ISNUMBER('Registro Notas'!$D19:$O19)))</f>
        <v/>
      </c>
      <c r="N19" s="44">
        <f>IF(SUMPRODUCT(('Matriz Criterios'!$H$17:$S$17="X")*ISNUMBER('Registro Notas'!$D19:$O19))=0, "-", SUMPRODUCT(('Matriz Criterios'!$H$17:$S$17="X")*ISNUMBER('Registro Notas'!$D19:$O19)*'Registro Notas'!$D19:$O19)/SUMPRODUCT(('Matriz Criterios'!$H$17:$S$17="X")*ISNUMBER('Registro Notas'!$D19:$O19)))</f>
        <v/>
      </c>
      <c r="O19" s="44">
        <f>IF(SUMPRODUCT(('Matriz Criterios'!$H$18:$S$18="X")*ISNUMBER('Registro Notas'!$D19:$O19))=0, "-", SUMPRODUCT(('Matriz Criterios'!$H$18:$S$18="X")*ISNUMBER('Registro Notas'!$D19:$O19)*'Registro Notas'!$D19:$O19)/SUMPRODUCT(('Matriz Criterios'!$H$18:$S$18="X")*ISNUMBER('Registro Notas'!$D19:$O19)))</f>
        <v/>
      </c>
      <c r="P19" s="44">
        <f>IF(SUMPRODUCT(('Matriz Criterios'!$H$19:$S$19="X")*ISNUMBER('Registro Notas'!$D19:$O19))=0, "-", SUMPRODUCT(('Matriz Criterios'!$H$19:$S$19="X")*ISNUMBER('Registro Notas'!$D19:$O19)*'Registro Notas'!$D19:$O19)/SUMPRODUCT(('Matriz Criterios'!$H$19:$S$19="X")*ISNUMBER('Registro Notas'!$D19:$O19)))</f>
        <v/>
      </c>
      <c r="Q19" s="44">
        <f>IF(SUMPRODUCT(('Matriz Criterios'!$H$20:$S$20="X")*ISNUMBER('Registro Notas'!$D19:$O19))=0, "-", SUMPRODUCT(('Matriz Criterios'!$H$20:$S$20="X")*ISNUMBER('Registro Notas'!$D19:$O19)*'Registro Notas'!$D19:$O19)/SUMPRODUCT(('Matriz Criterios'!$H$20:$S$20="X")*ISNUMBER('Registro Notas'!$D19:$O19)))</f>
        <v/>
      </c>
      <c r="R19" s="44">
        <f>IF(SUMPRODUCT(('Matriz Criterios'!$H$21:$S$21="X")*ISNUMBER('Registro Notas'!$D19:$O19))=0, "-", SUMPRODUCT(('Matriz Criterios'!$H$21:$S$21="X")*ISNUMBER('Registro Notas'!$D19:$O19)*'Registro Notas'!$D19:$O19)/SUMPRODUCT(('Matriz Criterios'!$H$21:$S$21="X")*ISNUMBER('Registro Notas'!$D19:$O19)))</f>
        <v/>
      </c>
      <c r="S19" s="44">
        <f>IF(SUMPRODUCT(('Matriz Criterios'!$H$22:$S$22="X")*ISNUMBER('Registro Notas'!$D19:$O19))=0, "-", SUMPRODUCT(('Matriz Criterios'!$H$22:$S$22="X")*ISNUMBER('Registro Notas'!$D19:$O19)*'Registro Notas'!$D19:$O19)/SUMPRODUCT(('Matriz Criterios'!$H$22:$S$22="X")*ISNUMBER('Registro Notas'!$D19:$O19)))</f>
        <v/>
      </c>
      <c r="T19" s="44">
        <f>IF(SUMPRODUCT(('Matriz Criterios'!$H$23:$S$23="X")*ISNUMBER('Registro Notas'!$D19:$O19))=0, "-", SUMPRODUCT(('Matriz Criterios'!$H$23:$S$23="X")*ISNUMBER('Registro Notas'!$D19:$O19)*'Registro Notas'!$D19:$O19)/SUMPRODUCT(('Matriz Criterios'!$H$23:$S$23="X")*ISNUMBER('Registro Notas'!$D19:$O19)))</f>
        <v/>
      </c>
      <c r="U19" s="44">
        <f>IF(SUMPRODUCT(('Matriz Criterios'!$H$24:$S$24="X")*ISNUMBER('Registro Notas'!$D19:$O19))=0, "-", SUMPRODUCT(('Matriz Criterios'!$H$24:$S$24="X")*ISNUMBER('Registro Notas'!$D19:$O19)*'Registro Notas'!$D19:$O19)/SUMPRODUCT(('Matriz Criterios'!$H$24:$S$24="X")*ISNUMBER('Registro Notas'!$D19:$O19)))</f>
        <v/>
      </c>
      <c r="V19" s="44">
        <f>IF(SUMPRODUCT(('Matriz Criterios'!$H$25:$S$25="X")*ISNUMBER('Registro Notas'!$D19:$O19))=0, "-", SUMPRODUCT(('Matriz Criterios'!$H$25:$S$25="X")*ISNUMBER('Registro Notas'!$D19:$O19)*'Registro Notas'!$D19:$O19)/SUMPRODUCT(('Matriz Criterios'!$H$25:$S$25="X")*ISNUMBER('Registro Notas'!$D19:$O19)))</f>
        <v/>
      </c>
      <c r="W19" s="44">
        <f>IF(SUMPRODUCT(('Matriz Criterios'!$H$26:$S$26="X")*ISNUMBER('Registro Notas'!$D19:$O19))=0, "-", SUMPRODUCT(('Matriz Criterios'!$H$26:$S$26="X")*ISNUMBER('Registro Notas'!$D19:$O19)*'Registro Notas'!$D19:$O19)/SUMPRODUCT(('Matriz Criterios'!$H$26:$S$26="X")*ISNUMBER('Registro Notas'!$D19:$O19)))</f>
        <v/>
      </c>
      <c r="X19" s="44">
        <f>IF(SUMPRODUCT(('Matriz Criterios'!$H$27:$S$27="X")*ISNUMBER('Registro Notas'!$D19:$O19))=0, "-", SUMPRODUCT(('Matriz Criterios'!$H$27:$S$27="X")*ISNUMBER('Registro Notas'!$D19:$O19)*'Registro Notas'!$D19:$O19)/SUMPRODUCT(('Matriz Criterios'!$H$27:$S$27="X")*ISNUMBER('Registro Notas'!$D19:$O19)))</f>
        <v/>
      </c>
      <c r="Y19" s="44">
        <f>IF(SUMPRODUCT(('Matriz Criterios'!$H$28:$S$28="X")*ISNUMBER('Registro Notas'!$D19:$O19))=0, "-", SUMPRODUCT(('Matriz Criterios'!$H$28:$S$28="X")*ISNUMBER('Registro Notas'!$D19:$O19)*'Registro Notas'!$D19:$O19)/SUMPRODUCT(('Matriz Criterios'!$H$28:$S$28="X")*ISNUMBER('Registro Notas'!$D19:$O19)))</f>
        <v/>
      </c>
      <c r="Z19" s="44">
        <f>IF(SUMPRODUCT(('Matriz Criterios'!$H$29:$S$29="X")*ISNUMBER('Registro Notas'!$D19:$O19))=0, "-", SUMPRODUCT(('Matriz Criterios'!$H$29:$S$29="X")*ISNUMBER('Registro Notas'!$D19:$O19)*'Registro Notas'!$D19:$O19)/SUMPRODUCT(('Matriz Criterios'!$H$29:$S$29="X")*ISNUMBER('Registro Notas'!$D19:$O19)))</f>
        <v/>
      </c>
      <c r="AA19" s="44">
        <f>IF(SUMPRODUCT(('Matriz Criterios'!$H$30:$S$30="X")*ISNUMBER('Registro Notas'!$D19:$O19))=0, "-", SUMPRODUCT(('Matriz Criterios'!$H$30:$S$30="X")*ISNUMBER('Registro Notas'!$D19:$O19)*'Registro Notas'!$D19:$O19)/SUMPRODUCT(('Matriz Criterios'!$H$30:$S$30="X")*ISNUMBER('Registro Notas'!$D19:$O19)))</f>
        <v/>
      </c>
      <c r="AB19" s="44">
        <f>IF(SUMPRODUCT(('Matriz Criterios'!$H$31:$S$31="X")*ISNUMBER('Registro Notas'!$D19:$O19))=0, "-", SUMPRODUCT(('Matriz Criterios'!$H$31:$S$31="X")*ISNUMBER('Registro Notas'!$D19:$O19)*'Registro Notas'!$D19:$O19)/SUMPRODUCT(('Matriz Criterios'!$H$31:$S$31="X")*ISNUMBER('Registro Notas'!$D19:$O19)))</f>
        <v/>
      </c>
      <c r="AC19" s="44">
        <f>IF(SUMPRODUCT(('Matriz Criterios'!$H$32:$S$32="X")*ISNUMBER('Registro Notas'!$D19:$O19))=0, "-", SUMPRODUCT(('Matriz Criterios'!$H$32:$S$32="X")*ISNUMBER('Registro Notas'!$D19:$O19)*'Registro Notas'!$D19:$O19)/SUMPRODUCT(('Matriz Criterios'!$H$32:$S$32="X")*ISNUMBER('Registro Notas'!$D19:$O19)))</f>
        <v/>
      </c>
      <c r="AD19" s="44">
        <f>IF(SUMPRODUCT(('Matriz Criterios'!$H$33:$S$33="X")*ISNUMBER('Registro Notas'!$D19:$O19))=0, "-", SUMPRODUCT(('Matriz Criterios'!$H$33:$S$33="X")*ISNUMBER('Registro Notas'!$D19:$O19)*'Registro Notas'!$D19:$O19)/SUMPRODUCT(('Matriz Criterios'!$H$33:$S$33="X")*ISNUMBER('Registro Notas'!$D19:$O19)))</f>
        <v/>
      </c>
      <c r="AE19" s="44">
        <f>IF(SUMPRODUCT(('Matriz Criterios'!$H$34:$S$34="X")*ISNUMBER('Registro Notas'!$D19:$O19))=0, "-", SUMPRODUCT(('Matriz Criterios'!$H$34:$S$34="X")*ISNUMBER('Registro Notas'!$D19:$O19)*'Registro Notas'!$D19:$O19)/SUMPRODUCT(('Matriz Criterios'!$H$34:$S$34="X")*ISNUMBER('Registro Notas'!$D19:$O19)))</f>
        <v/>
      </c>
      <c r="AF19" s="44">
        <f>IF(SUMPRODUCT(('Matriz Criterios'!$H$35:$S$35="X")*ISNUMBER('Registro Notas'!$D19:$O19))=0, "-", SUMPRODUCT(('Matriz Criterios'!$H$35:$S$35="X")*ISNUMBER('Registro Notas'!$D19:$O19)*'Registro Notas'!$D19:$O19)/SUMPRODUCT(('Matriz Criterios'!$H$35:$S$35="X")*ISNUMBER('Registro Notas'!$D19:$O19)))</f>
        <v/>
      </c>
      <c r="AG19" s="44">
        <f>IF(SUMPRODUCT(('Matriz Criterios'!$H$36:$S$36="X")*ISNUMBER('Registro Notas'!$D19:$O19))=0, "-", SUMPRODUCT(('Matriz Criterios'!$H$36:$S$36="X")*ISNUMBER('Registro Notas'!$D19:$O19)*'Registro Notas'!$D19:$O19)/SUMPRODUCT(('Matriz Criterios'!$H$36:$S$36="X")*ISNUMBER('Registro Notas'!$D19:$O19)))</f>
        <v/>
      </c>
      <c r="AH19" s="44">
        <f>IF(SUMPRODUCT(('Matriz Criterios'!$H$37:$S$37="X")*ISNUMBER('Registro Notas'!$D19:$O19))=0, "-", SUMPRODUCT(('Matriz Criterios'!$H$37:$S$37="X")*ISNUMBER('Registro Notas'!$D19:$O19)*'Registro Notas'!$D19:$O19)/SUMPRODUCT(('Matriz Criterios'!$H$37:$S$37="X")*ISNUMBER('Registro Notas'!$D19:$O19)))</f>
        <v/>
      </c>
      <c r="AI19" s="44">
        <f>IF(SUMPRODUCT(('Matriz Criterios'!$H$38:$S$38="X")*ISNUMBER('Registro Notas'!$D19:$O19))=0, "-", SUMPRODUCT(('Matriz Criterios'!$H$38:$S$38="X")*ISNUMBER('Registro Notas'!$D19:$O19)*'Registro Notas'!$D19:$O19)/SUMPRODUCT(('Matriz Criterios'!$H$38:$S$38="X")*ISNUMBER('Registro Notas'!$D19:$O19)))</f>
        <v/>
      </c>
      <c r="AJ19" s="44">
        <f>IF(SUMPRODUCT(('Matriz Criterios'!$H$39:$S$39="X")*ISNUMBER('Registro Notas'!$D19:$O19))=0, "-", SUMPRODUCT(('Matriz Criterios'!$H$39:$S$39="X")*ISNUMBER('Registro Notas'!$D19:$O19)*'Registro Notas'!$D19:$O19)/SUMPRODUCT(('Matriz Criterios'!$H$39:$S$39="X")*ISNUMBER('Registro Notas'!$D19:$O19)))</f>
        <v/>
      </c>
      <c r="AK19" s="42">
        <f>AVERAGE(C19:AJ19)</f>
        <v/>
      </c>
      <c r="AL19" s="53">
        <f>COUNTIF(C19:AJ19, "&gt;=5")</f>
        <v/>
      </c>
    </row>
    <row r="20" ht="20" customHeight="1">
      <c r="A20" s="15" t="n">
        <v>15</v>
      </c>
      <c r="B20" s="37" t="inlineStr">
        <is>
          <t>Torres Lozano, Irene</t>
        </is>
      </c>
      <c r="C20" s="38">
        <f>IF(SUMPRODUCT(('Matriz Criterios'!$H$6:$S$6="X")*ISNUMBER('Registro Notas'!$D20:$O20))=0, "-", SUMPRODUCT(('Matriz Criterios'!$H$6:$S$6="X")*ISNUMBER('Registro Notas'!$D20:$O20)*'Registro Notas'!$D20:$O20)/SUMPRODUCT(('Matriz Criterios'!$H$6:$S$6="X")*ISNUMBER('Registro Notas'!$D20:$O20)))</f>
        <v/>
      </c>
      <c r="D20" s="38">
        <f>IF(SUMPRODUCT(('Matriz Criterios'!$H$7:$S$7="X")*ISNUMBER('Registro Notas'!$D20:$O20))=0, "-", SUMPRODUCT(('Matriz Criterios'!$H$7:$S$7="X")*ISNUMBER('Registro Notas'!$D20:$O20)*'Registro Notas'!$D20:$O20)/SUMPRODUCT(('Matriz Criterios'!$H$7:$S$7="X")*ISNUMBER('Registro Notas'!$D20:$O20)))</f>
        <v/>
      </c>
      <c r="E20" s="38">
        <f>IF(SUMPRODUCT(('Matriz Criterios'!$H$8:$S$8="X")*ISNUMBER('Registro Notas'!$D20:$O20))=0, "-", SUMPRODUCT(('Matriz Criterios'!$H$8:$S$8="X")*ISNUMBER('Registro Notas'!$D20:$O20)*'Registro Notas'!$D20:$O20)/SUMPRODUCT(('Matriz Criterios'!$H$8:$S$8="X")*ISNUMBER('Registro Notas'!$D20:$O20)))</f>
        <v/>
      </c>
      <c r="F20" s="38">
        <f>IF(SUMPRODUCT(('Matriz Criterios'!$H$9:$S$9="X")*ISNUMBER('Registro Notas'!$D20:$O20))=0, "-", SUMPRODUCT(('Matriz Criterios'!$H$9:$S$9="X")*ISNUMBER('Registro Notas'!$D20:$O20)*'Registro Notas'!$D20:$O20)/SUMPRODUCT(('Matriz Criterios'!$H$9:$S$9="X")*ISNUMBER('Registro Notas'!$D20:$O20)))</f>
        <v/>
      </c>
      <c r="G20" s="38">
        <f>IF(SUMPRODUCT(('Matriz Criterios'!$H$10:$S$10="X")*ISNUMBER('Registro Notas'!$D20:$O20))=0, "-", SUMPRODUCT(('Matriz Criterios'!$H$10:$S$10="X")*ISNUMBER('Registro Notas'!$D20:$O20)*'Registro Notas'!$D20:$O20)/SUMPRODUCT(('Matriz Criterios'!$H$10:$S$10="X")*ISNUMBER('Registro Notas'!$D20:$O20)))</f>
        <v/>
      </c>
      <c r="H20" s="38">
        <f>IF(SUMPRODUCT(('Matriz Criterios'!$H$11:$S$11="X")*ISNUMBER('Registro Notas'!$D20:$O20))=0, "-", SUMPRODUCT(('Matriz Criterios'!$H$11:$S$11="X")*ISNUMBER('Registro Notas'!$D20:$O20)*'Registro Notas'!$D20:$O20)/SUMPRODUCT(('Matriz Criterios'!$H$11:$S$11="X")*ISNUMBER('Registro Notas'!$D20:$O20)))</f>
        <v/>
      </c>
      <c r="I20" s="38">
        <f>IF(SUMPRODUCT(('Matriz Criterios'!$H$12:$S$12="X")*ISNUMBER('Registro Notas'!$D20:$O20))=0, "-", SUMPRODUCT(('Matriz Criterios'!$H$12:$S$12="X")*ISNUMBER('Registro Notas'!$D20:$O20)*'Registro Notas'!$D20:$O20)/SUMPRODUCT(('Matriz Criterios'!$H$12:$S$12="X")*ISNUMBER('Registro Notas'!$D20:$O20)))</f>
        <v/>
      </c>
      <c r="J20" s="38">
        <f>IF(SUMPRODUCT(('Matriz Criterios'!$H$13:$S$13="X")*ISNUMBER('Registro Notas'!$D20:$O20))=0, "-", SUMPRODUCT(('Matriz Criterios'!$H$13:$S$13="X")*ISNUMBER('Registro Notas'!$D20:$O20)*'Registro Notas'!$D20:$O20)/SUMPRODUCT(('Matriz Criterios'!$H$13:$S$13="X")*ISNUMBER('Registro Notas'!$D20:$O20)))</f>
        <v/>
      </c>
      <c r="K20" s="38">
        <f>IF(SUMPRODUCT(('Matriz Criterios'!$H$14:$S$14="X")*ISNUMBER('Registro Notas'!$D20:$O20))=0, "-", SUMPRODUCT(('Matriz Criterios'!$H$14:$S$14="X")*ISNUMBER('Registro Notas'!$D20:$O20)*'Registro Notas'!$D20:$O20)/SUMPRODUCT(('Matriz Criterios'!$H$14:$S$14="X")*ISNUMBER('Registro Notas'!$D20:$O20)))</f>
        <v/>
      </c>
      <c r="L20" s="38">
        <f>IF(SUMPRODUCT(('Matriz Criterios'!$H$15:$S$15="X")*ISNUMBER('Registro Notas'!$D20:$O20))=0, "-", SUMPRODUCT(('Matriz Criterios'!$H$15:$S$15="X")*ISNUMBER('Registro Notas'!$D20:$O20)*'Registro Notas'!$D20:$O20)/SUMPRODUCT(('Matriz Criterios'!$H$15:$S$15="X")*ISNUMBER('Registro Notas'!$D20:$O20)))</f>
        <v/>
      </c>
      <c r="M20" s="38">
        <f>IF(SUMPRODUCT(('Matriz Criterios'!$H$16:$S$16="X")*ISNUMBER('Registro Notas'!$D20:$O20))=0, "-", SUMPRODUCT(('Matriz Criterios'!$H$16:$S$16="X")*ISNUMBER('Registro Notas'!$D20:$O20)*'Registro Notas'!$D20:$O20)/SUMPRODUCT(('Matriz Criterios'!$H$16:$S$16="X")*ISNUMBER('Registro Notas'!$D20:$O20)))</f>
        <v/>
      </c>
      <c r="N20" s="38">
        <f>IF(SUMPRODUCT(('Matriz Criterios'!$H$17:$S$17="X")*ISNUMBER('Registro Notas'!$D20:$O20))=0, "-", SUMPRODUCT(('Matriz Criterios'!$H$17:$S$17="X")*ISNUMBER('Registro Notas'!$D20:$O20)*'Registro Notas'!$D20:$O20)/SUMPRODUCT(('Matriz Criterios'!$H$17:$S$17="X")*ISNUMBER('Registro Notas'!$D20:$O20)))</f>
        <v/>
      </c>
      <c r="O20" s="38">
        <f>IF(SUMPRODUCT(('Matriz Criterios'!$H$18:$S$18="X")*ISNUMBER('Registro Notas'!$D20:$O20))=0, "-", SUMPRODUCT(('Matriz Criterios'!$H$18:$S$18="X")*ISNUMBER('Registro Notas'!$D20:$O20)*'Registro Notas'!$D20:$O20)/SUMPRODUCT(('Matriz Criterios'!$H$18:$S$18="X")*ISNUMBER('Registro Notas'!$D20:$O20)))</f>
        <v/>
      </c>
      <c r="P20" s="38">
        <f>IF(SUMPRODUCT(('Matriz Criterios'!$H$19:$S$19="X")*ISNUMBER('Registro Notas'!$D20:$O20))=0, "-", SUMPRODUCT(('Matriz Criterios'!$H$19:$S$19="X")*ISNUMBER('Registro Notas'!$D20:$O20)*'Registro Notas'!$D20:$O20)/SUMPRODUCT(('Matriz Criterios'!$H$19:$S$19="X")*ISNUMBER('Registro Notas'!$D20:$O20)))</f>
        <v/>
      </c>
      <c r="Q20" s="38">
        <f>IF(SUMPRODUCT(('Matriz Criterios'!$H$20:$S$20="X")*ISNUMBER('Registro Notas'!$D20:$O20))=0, "-", SUMPRODUCT(('Matriz Criterios'!$H$20:$S$20="X")*ISNUMBER('Registro Notas'!$D20:$O20)*'Registro Notas'!$D20:$O20)/SUMPRODUCT(('Matriz Criterios'!$H$20:$S$20="X")*ISNUMBER('Registro Notas'!$D20:$O20)))</f>
        <v/>
      </c>
      <c r="R20" s="38">
        <f>IF(SUMPRODUCT(('Matriz Criterios'!$H$21:$S$21="X")*ISNUMBER('Registro Notas'!$D20:$O20))=0, "-", SUMPRODUCT(('Matriz Criterios'!$H$21:$S$21="X")*ISNUMBER('Registro Notas'!$D20:$O20)*'Registro Notas'!$D20:$O20)/SUMPRODUCT(('Matriz Criterios'!$H$21:$S$21="X")*ISNUMBER('Registro Notas'!$D20:$O20)))</f>
        <v/>
      </c>
      <c r="S20" s="38">
        <f>IF(SUMPRODUCT(('Matriz Criterios'!$H$22:$S$22="X")*ISNUMBER('Registro Notas'!$D20:$O20))=0, "-", SUMPRODUCT(('Matriz Criterios'!$H$22:$S$22="X")*ISNUMBER('Registro Notas'!$D20:$O20)*'Registro Notas'!$D20:$O20)/SUMPRODUCT(('Matriz Criterios'!$H$22:$S$22="X")*ISNUMBER('Registro Notas'!$D20:$O20)))</f>
        <v/>
      </c>
      <c r="T20" s="38">
        <f>IF(SUMPRODUCT(('Matriz Criterios'!$H$23:$S$23="X")*ISNUMBER('Registro Notas'!$D20:$O20))=0, "-", SUMPRODUCT(('Matriz Criterios'!$H$23:$S$23="X")*ISNUMBER('Registro Notas'!$D20:$O20)*'Registro Notas'!$D20:$O20)/SUMPRODUCT(('Matriz Criterios'!$H$23:$S$23="X")*ISNUMBER('Registro Notas'!$D20:$O20)))</f>
        <v/>
      </c>
      <c r="U20" s="38">
        <f>IF(SUMPRODUCT(('Matriz Criterios'!$H$24:$S$24="X")*ISNUMBER('Registro Notas'!$D20:$O20))=0, "-", SUMPRODUCT(('Matriz Criterios'!$H$24:$S$24="X")*ISNUMBER('Registro Notas'!$D20:$O20)*'Registro Notas'!$D20:$O20)/SUMPRODUCT(('Matriz Criterios'!$H$24:$S$24="X")*ISNUMBER('Registro Notas'!$D20:$O20)))</f>
        <v/>
      </c>
      <c r="V20" s="38">
        <f>IF(SUMPRODUCT(('Matriz Criterios'!$H$25:$S$25="X")*ISNUMBER('Registro Notas'!$D20:$O20))=0, "-", SUMPRODUCT(('Matriz Criterios'!$H$25:$S$25="X")*ISNUMBER('Registro Notas'!$D20:$O20)*'Registro Notas'!$D20:$O20)/SUMPRODUCT(('Matriz Criterios'!$H$25:$S$25="X")*ISNUMBER('Registro Notas'!$D20:$O20)))</f>
        <v/>
      </c>
      <c r="W20" s="38">
        <f>IF(SUMPRODUCT(('Matriz Criterios'!$H$26:$S$26="X")*ISNUMBER('Registro Notas'!$D20:$O20))=0, "-", SUMPRODUCT(('Matriz Criterios'!$H$26:$S$26="X")*ISNUMBER('Registro Notas'!$D20:$O20)*'Registro Notas'!$D20:$O20)/SUMPRODUCT(('Matriz Criterios'!$H$26:$S$26="X")*ISNUMBER('Registro Notas'!$D20:$O20)))</f>
        <v/>
      </c>
      <c r="X20" s="38">
        <f>IF(SUMPRODUCT(('Matriz Criterios'!$H$27:$S$27="X")*ISNUMBER('Registro Notas'!$D20:$O20))=0, "-", SUMPRODUCT(('Matriz Criterios'!$H$27:$S$27="X")*ISNUMBER('Registro Notas'!$D20:$O20)*'Registro Notas'!$D20:$O20)/SUMPRODUCT(('Matriz Criterios'!$H$27:$S$27="X")*ISNUMBER('Registro Notas'!$D20:$O20)))</f>
        <v/>
      </c>
      <c r="Y20" s="38">
        <f>IF(SUMPRODUCT(('Matriz Criterios'!$H$28:$S$28="X")*ISNUMBER('Registro Notas'!$D20:$O20))=0, "-", SUMPRODUCT(('Matriz Criterios'!$H$28:$S$28="X")*ISNUMBER('Registro Notas'!$D20:$O20)*'Registro Notas'!$D20:$O20)/SUMPRODUCT(('Matriz Criterios'!$H$28:$S$28="X")*ISNUMBER('Registro Notas'!$D20:$O20)))</f>
        <v/>
      </c>
      <c r="Z20" s="38">
        <f>IF(SUMPRODUCT(('Matriz Criterios'!$H$29:$S$29="X")*ISNUMBER('Registro Notas'!$D20:$O20))=0, "-", SUMPRODUCT(('Matriz Criterios'!$H$29:$S$29="X")*ISNUMBER('Registro Notas'!$D20:$O20)*'Registro Notas'!$D20:$O20)/SUMPRODUCT(('Matriz Criterios'!$H$29:$S$29="X")*ISNUMBER('Registro Notas'!$D20:$O20)))</f>
        <v/>
      </c>
      <c r="AA20" s="38">
        <f>IF(SUMPRODUCT(('Matriz Criterios'!$H$30:$S$30="X")*ISNUMBER('Registro Notas'!$D20:$O20))=0, "-", SUMPRODUCT(('Matriz Criterios'!$H$30:$S$30="X")*ISNUMBER('Registro Notas'!$D20:$O20)*'Registro Notas'!$D20:$O20)/SUMPRODUCT(('Matriz Criterios'!$H$30:$S$30="X")*ISNUMBER('Registro Notas'!$D20:$O20)))</f>
        <v/>
      </c>
      <c r="AB20" s="38">
        <f>IF(SUMPRODUCT(('Matriz Criterios'!$H$31:$S$31="X")*ISNUMBER('Registro Notas'!$D20:$O20))=0, "-", SUMPRODUCT(('Matriz Criterios'!$H$31:$S$31="X")*ISNUMBER('Registro Notas'!$D20:$O20)*'Registro Notas'!$D20:$O20)/SUMPRODUCT(('Matriz Criterios'!$H$31:$S$31="X")*ISNUMBER('Registro Notas'!$D20:$O20)))</f>
        <v/>
      </c>
      <c r="AC20" s="38">
        <f>IF(SUMPRODUCT(('Matriz Criterios'!$H$32:$S$32="X")*ISNUMBER('Registro Notas'!$D20:$O20))=0, "-", SUMPRODUCT(('Matriz Criterios'!$H$32:$S$32="X")*ISNUMBER('Registro Notas'!$D20:$O20)*'Registro Notas'!$D20:$O20)/SUMPRODUCT(('Matriz Criterios'!$H$32:$S$32="X")*ISNUMBER('Registro Notas'!$D20:$O20)))</f>
        <v/>
      </c>
      <c r="AD20" s="38">
        <f>IF(SUMPRODUCT(('Matriz Criterios'!$H$33:$S$33="X")*ISNUMBER('Registro Notas'!$D20:$O20))=0, "-", SUMPRODUCT(('Matriz Criterios'!$H$33:$S$33="X")*ISNUMBER('Registro Notas'!$D20:$O20)*'Registro Notas'!$D20:$O20)/SUMPRODUCT(('Matriz Criterios'!$H$33:$S$33="X")*ISNUMBER('Registro Notas'!$D20:$O20)))</f>
        <v/>
      </c>
      <c r="AE20" s="38">
        <f>IF(SUMPRODUCT(('Matriz Criterios'!$H$34:$S$34="X")*ISNUMBER('Registro Notas'!$D20:$O20))=0, "-", SUMPRODUCT(('Matriz Criterios'!$H$34:$S$34="X")*ISNUMBER('Registro Notas'!$D20:$O20)*'Registro Notas'!$D20:$O20)/SUMPRODUCT(('Matriz Criterios'!$H$34:$S$34="X")*ISNUMBER('Registro Notas'!$D20:$O20)))</f>
        <v/>
      </c>
      <c r="AF20" s="38">
        <f>IF(SUMPRODUCT(('Matriz Criterios'!$H$35:$S$35="X")*ISNUMBER('Registro Notas'!$D20:$O20))=0, "-", SUMPRODUCT(('Matriz Criterios'!$H$35:$S$35="X")*ISNUMBER('Registro Notas'!$D20:$O20)*'Registro Notas'!$D20:$O20)/SUMPRODUCT(('Matriz Criterios'!$H$35:$S$35="X")*ISNUMBER('Registro Notas'!$D20:$O20)))</f>
        <v/>
      </c>
      <c r="AG20" s="38">
        <f>IF(SUMPRODUCT(('Matriz Criterios'!$H$36:$S$36="X")*ISNUMBER('Registro Notas'!$D20:$O20))=0, "-", SUMPRODUCT(('Matriz Criterios'!$H$36:$S$36="X")*ISNUMBER('Registro Notas'!$D20:$O20)*'Registro Notas'!$D20:$O20)/SUMPRODUCT(('Matriz Criterios'!$H$36:$S$36="X")*ISNUMBER('Registro Notas'!$D20:$O20)))</f>
        <v/>
      </c>
      <c r="AH20" s="38">
        <f>IF(SUMPRODUCT(('Matriz Criterios'!$H$37:$S$37="X")*ISNUMBER('Registro Notas'!$D20:$O20))=0, "-", SUMPRODUCT(('Matriz Criterios'!$H$37:$S$37="X")*ISNUMBER('Registro Notas'!$D20:$O20)*'Registro Notas'!$D20:$O20)/SUMPRODUCT(('Matriz Criterios'!$H$37:$S$37="X")*ISNUMBER('Registro Notas'!$D20:$O20)))</f>
        <v/>
      </c>
      <c r="AI20" s="38">
        <f>IF(SUMPRODUCT(('Matriz Criterios'!$H$38:$S$38="X")*ISNUMBER('Registro Notas'!$D20:$O20))=0, "-", SUMPRODUCT(('Matriz Criterios'!$H$38:$S$38="X")*ISNUMBER('Registro Notas'!$D20:$O20)*'Registro Notas'!$D20:$O20)/SUMPRODUCT(('Matriz Criterios'!$H$38:$S$38="X")*ISNUMBER('Registro Notas'!$D20:$O20)))</f>
        <v/>
      </c>
      <c r="AJ20" s="38">
        <f>IF(SUMPRODUCT(('Matriz Criterios'!$H$39:$S$39="X")*ISNUMBER('Registro Notas'!$D20:$O20))=0, "-", SUMPRODUCT(('Matriz Criterios'!$H$39:$S$39="X")*ISNUMBER('Registro Notas'!$D20:$O20)*'Registro Notas'!$D20:$O20)/SUMPRODUCT(('Matriz Criterios'!$H$39:$S$39="X")*ISNUMBER('Registro Notas'!$D20:$O20)))</f>
        <v/>
      </c>
      <c r="AK20" s="42">
        <f>AVERAGE(C20:AJ20)</f>
        <v/>
      </c>
      <c r="AL20" s="53">
        <f>COUNTIF(C20:AJ20, "&gt;=5")</f>
        <v/>
      </c>
    </row>
    <row r="21" ht="24" customHeight="1">
      <c r="A21" s="45" t="inlineStr">
        <is>
          <t>PROMEDIO DEL GRUPO</t>
        </is>
      </c>
      <c r="B21" s="46" t="n"/>
      <c r="C21" s="47">
        <f>AVERAGE(C6:C20)</f>
        <v/>
      </c>
      <c r="D21" s="47">
        <f>AVERAGE(D6:D20)</f>
        <v/>
      </c>
      <c r="E21" s="47">
        <f>AVERAGE(E6:E20)</f>
        <v/>
      </c>
      <c r="F21" s="47">
        <f>AVERAGE(F6:F20)</f>
        <v/>
      </c>
      <c r="G21" s="47">
        <f>AVERAGE(G6:G20)</f>
        <v/>
      </c>
      <c r="H21" s="47">
        <f>AVERAGE(H6:H20)</f>
        <v/>
      </c>
      <c r="I21" s="47">
        <f>AVERAGE(I6:I20)</f>
        <v/>
      </c>
      <c r="J21" s="47">
        <f>AVERAGE(J6:J20)</f>
        <v/>
      </c>
      <c r="K21" s="47">
        <f>AVERAGE(K6:K20)</f>
        <v/>
      </c>
      <c r="L21" s="47">
        <f>AVERAGE(L6:L20)</f>
        <v/>
      </c>
      <c r="M21" s="47">
        <f>AVERAGE(M6:M20)</f>
        <v/>
      </c>
      <c r="N21" s="47">
        <f>AVERAGE(N6:N20)</f>
        <v/>
      </c>
      <c r="O21" s="47">
        <f>AVERAGE(O6:O20)</f>
        <v/>
      </c>
      <c r="P21" s="47">
        <f>AVERAGE(P6:P20)</f>
        <v/>
      </c>
      <c r="Q21" s="47">
        <f>AVERAGE(Q6:Q20)</f>
        <v/>
      </c>
      <c r="R21" s="47">
        <f>AVERAGE(R6:R20)</f>
        <v/>
      </c>
      <c r="S21" s="47">
        <f>AVERAGE(S6:S20)</f>
        <v/>
      </c>
      <c r="T21" s="47">
        <f>AVERAGE(T6:T20)</f>
        <v/>
      </c>
      <c r="U21" s="47">
        <f>AVERAGE(U6:U20)</f>
        <v/>
      </c>
      <c r="V21" s="47">
        <f>AVERAGE(V6:V20)</f>
        <v/>
      </c>
      <c r="W21" s="47">
        <f>AVERAGE(W6:W20)</f>
        <v/>
      </c>
      <c r="X21" s="47">
        <f>AVERAGE(X6:X20)</f>
        <v/>
      </c>
      <c r="Y21" s="47">
        <f>AVERAGE(Y6:Y20)</f>
        <v/>
      </c>
      <c r="Z21" s="47">
        <f>AVERAGE(Z6:Z20)</f>
        <v/>
      </c>
      <c r="AA21" s="47">
        <f>AVERAGE(AA6:AA20)</f>
        <v/>
      </c>
      <c r="AB21" s="47">
        <f>AVERAGE(AB6:AB20)</f>
        <v/>
      </c>
      <c r="AC21" s="47">
        <f>AVERAGE(AC6:AC20)</f>
        <v/>
      </c>
      <c r="AD21" s="47">
        <f>AVERAGE(AD6:AD20)</f>
        <v/>
      </c>
      <c r="AE21" s="47">
        <f>AVERAGE(AE6:AE20)</f>
        <v/>
      </c>
      <c r="AF21" s="47">
        <f>AVERAGE(AF6:AF20)</f>
        <v/>
      </c>
      <c r="AG21" s="47">
        <f>AVERAGE(AG6:AG20)</f>
        <v/>
      </c>
      <c r="AH21" s="47">
        <f>AVERAGE(AH6:AH20)</f>
        <v/>
      </c>
      <c r="AI21" s="47">
        <f>AVERAGE(AI6:AI20)</f>
        <v/>
      </c>
      <c r="AJ21" s="47">
        <f>AVERAGE(AJ6:AJ20)</f>
        <v/>
      </c>
      <c r="AK21" s="47">
        <f>AVERAGE(AK6:AK20)</f>
        <v/>
      </c>
      <c r="AL21" s="47">
        <f>AVERAGE(AL6:AL20)</f>
        <v/>
      </c>
    </row>
  </sheetData>
  <mergeCells count="11">
    <mergeCell ref="A4:B4"/>
    <mergeCell ref="I4:M4"/>
    <mergeCell ref="AK4:AL4"/>
    <mergeCell ref="A21:B21"/>
    <mergeCell ref="AF4:AJ4"/>
    <mergeCell ref="A1:AL1"/>
    <mergeCell ref="Q4:V4"/>
    <mergeCell ref="C4:H4"/>
    <mergeCell ref="N4:P4"/>
    <mergeCell ref="W4:AE4"/>
    <mergeCell ref="A2:AL2"/>
  </mergeCells>
  <conditionalFormatting sqref="C6:AJ20">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1" workbookViewId="0">
      <selection activeCell="A1" sqref="A1"/>
    </sheetView>
  </sheetViews>
  <sheetFormatPr baseColWidth="8" defaultRowHeight="15"/>
  <cols>
    <col width="5" customWidth="1" min="1" max="1"/>
    <col width="25" customWidth="1" min="2" max="2"/>
    <col width="16" customWidth="1" min="3" max="3"/>
    <col width="16" customWidth="1" min="4" max="4"/>
    <col width="16" customWidth="1" min="5" max="5"/>
    <col width="16" customWidth="1" min="6" max="6"/>
    <col width="16" customWidth="1" min="7" max="7"/>
    <col width="16" customWidth="1" min="8" max="8"/>
    <col width="18" customWidth="1" min="9" max="9"/>
  </cols>
  <sheetData>
    <row r="1" ht="36" customHeight="1">
      <c r="A1" s="1" t="inlineStr">
        <is>
          <t>CALIFICACIÓN POR RESULTADOS DE APRENDIZAJE (RA1 a RA6) — PONDERACIÓN OFICIAL</t>
        </is>
      </c>
    </row>
    <row r="2" ht="20" customHeight="1">
      <c r="A2" s="2" t="inlineStr">
        <is>
          <t>Cada Resultado de Aprendizaje se obtiene promediando sus Criterios de Evaluación. La Nota Final aplica los pesos oficiales del RD 659/2023.</t>
        </is>
      </c>
    </row>
    <row r="4" ht="42" customHeight="1">
      <c r="A4" s="35" t="inlineStr">
        <is>
          <t>Nº</t>
        </is>
      </c>
      <c r="B4" s="35" t="inlineStr">
        <is>
          <t>Apellidos, Nombre</t>
        </is>
      </c>
      <c r="C4" s="9" t="inlineStr">
        <is>
          <t>RA1 (18%)
Aspectos ASG &amp;
Marcos Internac.</t>
        </is>
      </c>
      <c r="D4" s="9" t="inlineStr">
        <is>
          <t>RA2 (15%)
Retos Ambientales
y Sociales TIC</t>
        </is>
      </c>
      <c r="E4" s="9" t="inlineStr">
        <is>
          <t>RA3 (9%)
Criterios Personales
y Profesionales</t>
        </is>
      </c>
      <c r="F4" s="9" t="inlineStr">
        <is>
          <t>RA4 (18%)
Economía Circular
y Ecodiseño TIC</t>
        </is>
      </c>
      <c r="G4" s="9" t="inlineStr">
        <is>
          <t>RA5 (18%)
Actividades Sostenibles
Green IT &amp; RAEE</t>
        </is>
      </c>
      <c r="H4" s="9" t="inlineStr">
        <is>
          <t>RA6 (22%)
Plan Sostenibilidad
e Informe CSRD/GRI</t>
        </is>
      </c>
      <c r="I4" s="52" t="inlineStr">
        <is>
          <t>CALIFICACIÓN FINAL
ORDINARIA (100%)</t>
        </is>
      </c>
    </row>
    <row r="6" ht="20" customHeight="1">
      <c r="A6" s="15" t="n">
        <v>1</v>
      </c>
      <c r="B6" s="37" t="inlineStr">
        <is>
          <t>Álvarez Gómez, Laura</t>
        </is>
      </c>
      <c r="C6" s="38">
        <f>AVERAGE('Calculo CEs'!C6:H6)</f>
        <v/>
      </c>
      <c r="D6" s="38">
        <f>AVERAGE('Calculo CEs'!I6:M6)</f>
        <v/>
      </c>
      <c r="E6" s="38">
        <f>AVERAGE('Calculo CEs'!N6:P6)</f>
        <v/>
      </c>
      <c r="F6" s="38">
        <f>AVERAGE('Calculo CEs'!Q6:V6)</f>
        <v/>
      </c>
      <c r="G6" s="38">
        <f>AVERAGE('Calculo CEs'!W6:AE6)</f>
        <v/>
      </c>
      <c r="H6" s="38">
        <f>AVERAGE('Calculo CEs'!AF6:AJ6)</f>
        <v/>
      </c>
      <c r="I6" s="54">
        <f>C6*0.18 + D6*0.15 + E6*0.09 + F6*0.18 + G6*0.18 + H6*0.22</f>
        <v/>
      </c>
    </row>
    <row r="7" ht="20" customHeight="1">
      <c r="A7" s="22" t="n">
        <v>2</v>
      </c>
      <c r="B7" s="43" t="inlineStr">
        <is>
          <t>Benítez Romero, Carlos</t>
        </is>
      </c>
      <c r="C7" s="44">
        <f>AVERAGE('Calculo CEs'!C7:H7)</f>
        <v/>
      </c>
      <c r="D7" s="44">
        <f>AVERAGE('Calculo CEs'!I7:M7)</f>
        <v/>
      </c>
      <c r="E7" s="44">
        <f>AVERAGE('Calculo CEs'!N7:P7)</f>
        <v/>
      </c>
      <c r="F7" s="44">
        <f>AVERAGE('Calculo CEs'!Q7:V7)</f>
        <v/>
      </c>
      <c r="G7" s="44">
        <f>AVERAGE('Calculo CEs'!W7:AE7)</f>
        <v/>
      </c>
      <c r="H7" s="44">
        <f>AVERAGE('Calculo CEs'!AF7:AJ7)</f>
        <v/>
      </c>
      <c r="I7" s="54">
        <f>C7*0.18 + D7*0.15 + E7*0.09 + F7*0.18 + G7*0.18 + H7*0.22</f>
        <v/>
      </c>
    </row>
    <row r="8" ht="20" customHeight="1">
      <c r="A8" s="15" t="n">
        <v>3</v>
      </c>
      <c r="B8" s="37" t="inlineStr">
        <is>
          <t>Castillo Morales, Elena</t>
        </is>
      </c>
      <c r="C8" s="38">
        <f>AVERAGE('Calculo CEs'!C8:H8)</f>
        <v/>
      </c>
      <c r="D8" s="38">
        <f>AVERAGE('Calculo CEs'!I8:M8)</f>
        <v/>
      </c>
      <c r="E8" s="38">
        <f>AVERAGE('Calculo CEs'!N8:P8)</f>
        <v/>
      </c>
      <c r="F8" s="38">
        <f>AVERAGE('Calculo CEs'!Q8:V8)</f>
        <v/>
      </c>
      <c r="G8" s="38">
        <f>AVERAGE('Calculo CEs'!W8:AE8)</f>
        <v/>
      </c>
      <c r="H8" s="38">
        <f>AVERAGE('Calculo CEs'!AF8:AJ8)</f>
        <v/>
      </c>
      <c r="I8" s="54">
        <f>C8*0.18 + D8*0.15 + E8*0.09 + F8*0.18 + G8*0.18 + H8*0.22</f>
        <v/>
      </c>
    </row>
    <row r="9" ht="20" customHeight="1">
      <c r="A9" s="22" t="n">
        <v>4</v>
      </c>
      <c r="B9" s="43" t="inlineStr">
        <is>
          <t>Delgado Santos, Alejandro</t>
        </is>
      </c>
      <c r="C9" s="44">
        <f>AVERAGE('Calculo CEs'!C9:H9)</f>
        <v/>
      </c>
      <c r="D9" s="44">
        <f>AVERAGE('Calculo CEs'!I9:M9)</f>
        <v/>
      </c>
      <c r="E9" s="44">
        <f>AVERAGE('Calculo CEs'!N9:P9)</f>
        <v/>
      </c>
      <c r="F9" s="44">
        <f>AVERAGE('Calculo CEs'!Q9:V9)</f>
        <v/>
      </c>
      <c r="G9" s="44">
        <f>AVERAGE('Calculo CEs'!W9:AE9)</f>
        <v/>
      </c>
      <c r="H9" s="44">
        <f>AVERAGE('Calculo CEs'!AF9:AJ9)</f>
        <v/>
      </c>
      <c r="I9" s="54">
        <f>C9*0.18 + D9*0.15 + E9*0.09 + F9*0.18 + G9*0.18 + H9*0.22</f>
        <v/>
      </c>
    </row>
    <row r="10" ht="20" customHeight="1">
      <c r="A10" s="15" t="n">
        <v>5</v>
      </c>
      <c r="B10" s="37" t="inlineStr">
        <is>
          <t>Fernández Navarro, Lucía</t>
        </is>
      </c>
      <c r="C10" s="38">
        <f>AVERAGE('Calculo CEs'!C10:H10)</f>
        <v/>
      </c>
      <c r="D10" s="38">
        <f>AVERAGE('Calculo CEs'!I10:M10)</f>
        <v/>
      </c>
      <c r="E10" s="38">
        <f>AVERAGE('Calculo CEs'!N10:P10)</f>
        <v/>
      </c>
      <c r="F10" s="38">
        <f>AVERAGE('Calculo CEs'!Q10:V10)</f>
        <v/>
      </c>
      <c r="G10" s="38">
        <f>AVERAGE('Calculo CEs'!W10:AE10)</f>
        <v/>
      </c>
      <c r="H10" s="38">
        <f>AVERAGE('Calculo CEs'!AF10:AJ10)</f>
        <v/>
      </c>
      <c r="I10" s="54">
        <f>C10*0.18 + D10*0.15 + E10*0.09 + F10*0.18 + G10*0.18 + H10*0.22</f>
        <v/>
      </c>
    </row>
    <row r="11" ht="20" customHeight="1">
      <c r="A11" s="22" t="n">
        <v>6</v>
      </c>
      <c r="B11" s="43" t="inlineStr">
        <is>
          <t>García Serrano, David</t>
        </is>
      </c>
      <c r="C11" s="44">
        <f>AVERAGE('Calculo CEs'!C11:H11)</f>
        <v/>
      </c>
      <c r="D11" s="44">
        <f>AVERAGE('Calculo CEs'!I11:M11)</f>
        <v/>
      </c>
      <c r="E11" s="44">
        <f>AVERAGE('Calculo CEs'!N11:P11)</f>
        <v/>
      </c>
      <c r="F11" s="44">
        <f>AVERAGE('Calculo CEs'!Q11:V11)</f>
        <v/>
      </c>
      <c r="G11" s="44">
        <f>AVERAGE('Calculo CEs'!W11:AE11)</f>
        <v/>
      </c>
      <c r="H11" s="44">
        <f>AVERAGE('Calculo CEs'!AF11:AJ11)</f>
        <v/>
      </c>
      <c r="I11" s="54">
        <f>C11*0.18 + D11*0.15 + E11*0.09 + F11*0.18 + G11*0.18 + H11*0.22</f>
        <v/>
      </c>
    </row>
    <row r="12" ht="20" customHeight="1">
      <c r="A12" s="15" t="n">
        <v>7</v>
      </c>
      <c r="B12" s="37" t="inlineStr">
        <is>
          <t>Herrera Cruz, Marta</t>
        </is>
      </c>
      <c r="C12" s="38">
        <f>AVERAGE('Calculo CEs'!C12:H12)</f>
        <v/>
      </c>
      <c r="D12" s="38">
        <f>AVERAGE('Calculo CEs'!I12:M12)</f>
        <v/>
      </c>
      <c r="E12" s="38">
        <f>AVERAGE('Calculo CEs'!N12:P12)</f>
        <v/>
      </c>
      <c r="F12" s="38">
        <f>AVERAGE('Calculo CEs'!Q12:V12)</f>
        <v/>
      </c>
      <c r="G12" s="38">
        <f>AVERAGE('Calculo CEs'!W12:AE12)</f>
        <v/>
      </c>
      <c r="H12" s="38">
        <f>AVERAGE('Calculo CEs'!AF12:AJ12)</f>
        <v/>
      </c>
      <c r="I12" s="54">
        <f>C12*0.18 + D12*0.15 + E12*0.09 + F12*0.18 + G12*0.18 + H12*0.22</f>
        <v/>
      </c>
    </row>
    <row r="13" ht="20" customHeight="1">
      <c r="A13" s="22" t="n">
        <v>8</v>
      </c>
      <c r="B13" s="43" t="inlineStr">
        <is>
          <t>Jiménez Ortiz, Pablo</t>
        </is>
      </c>
      <c r="C13" s="44">
        <f>AVERAGE('Calculo CEs'!C13:H13)</f>
        <v/>
      </c>
      <c r="D13" s="44">
        <f>AVERAGE('Calculo CEs'!I13:M13)</f>
        <v/>
      </c>
      <c r="E13" s="44">
        <f>AVERAGE('Calculo CEs'!N13:P13)</f>
        <v/>
      </c>
      <c r="F13" s="44">
        <f>AVERAGE('Calculo CEs'!Q13:V13)</f>
        <v/>
      </c>
      <c r="G13" s="44">
        <f>AVERAGE('Calculo CEs'!W13:AE13)</f>
        <v/>
      </c>
      <c r="H13" s="44">
        <f>AVERAGE('Calculo CEs'!AF13:AJ13)</f>
        <v/>
      </c>
      <c r="I13" s="54">
        <f>C13*0.18 + D13*0.15 + E13*0.09 + F13*0.18 + G13*0.18 + H13*0.22</f>
        <v/>
      </c>
    </row>
    <row r="14" ht="20" customHeight="1">
      <c r="A14" s="15" t="n">
        <v>9</v>
      </c>
      <c r="B14" s="37" t="inlineStr">
        <is>
          <t>López Molina, Sara</t>
        </is>
      </c>
      <c r="C14" s="38">
        <f>AVERAGE('Calculo CEs'!C14:H14)</f>
        <v/>
      </c>
      <c r="D14" s="38">
        <f>AVERAGE('Calculo CEs'!I14:M14)</f>
        <v/>
      </c>
      <c r="E14" s="38">
        <f>AVERAGE('Calculo CEs'!N14:P14)</f>
        <v/>
      </c>
      <c r="F14" s="38">
        <f>AVERAGE('Calculo CEs'!Q14:V14)</f>
        <v/>
      </c>
      <c r="G14" s="38">
        <f>AVERAGE('Calculo CEs'!W14:AE14)</f>
        <v/>
      </c>
      <c r="H14" s="38">
        <f>AVERAGE('Calculo CEs'!AF14:AJ14)</f>
        <v/>
      </c>
      <c r="I14" s="54">
        <f>C14*0.18 + D14*0.15 + E14*0.09 + F14*0.18 + G14*0.18 + H14*0.22</f>
        <v/>
      </c>
    </row>
    <row r="15" ht="20" customHeight="1">
      <c r="A15" s="22" t="n">
        <v>10</v>
      </c>
      <c r="B15" s="43" t="inlineStr">
        <is>
          <t>Martín Vega, Javier</t>
        </is>
      </c>
      <c r="C15" s="44">
        <f>AVERAGE('Calculo CEs'!C15:H15)</f>
        <v/>
      </c>
      <c r="D15" s="44">
        <f>AVERAGE('Calculo CEs'!I15:M15)</f>
        <v/>
      </c>
      <c r="E15" s="44">
        <f>AVERAGE('Calculo CEs'!N15:P15)</f>
        <v/>
      </c>
      <c r="F15" s="44">
        <f>AVERAGE('Calculo CEs'!Q15:V15)</f>
        <v/>
      </c>
      <c r="G15" s="44">
        <f>AVERAGE('Calculo CEs'!W15:AE15)</f>
        <v/>
      </c>
      <c r="H15" s="44">
        <f>AVERAGE('Calculo CEs'!AF15:AJ15)</f>
        <v/>
      </c>
      <c r="I15" s="54">
        <f>C15*0.18 + D15*0.15 + E15*0.09 + F15*0.18 + G15*0.18 + H15*0.22</f>
        <v/>
      </c>
    </row>
    <row r="16" ht="20" customHeight="1">
      <c r="A16" s="15" t="n">
        <v>11</v>
      </c>
      <c r="B16" s="37" t="inlineStr">
        <is>
          <t>Navarro Gil, Ana</t>
        </is>
      </c>
      <c r="C16" s="38">
        <f>AVERAGE('Calculo CEs'!C16:H16)</f>
        <v/>
      </c>
      <c r="D16" s="38">
        <f>AVERAGE('Calculo CEs'!I16:M16)</f>
        <v/>
      </c>
      <c r="E16" s="38">
        <f>AVERAGE('Calculo CEs'!N16:P16)</f>
        <v/>
      </c>
      <c r="F16" s="38">
        <f>AVERAGE('Calculo CEs'!Q16:V16)</f>
        <v/>
      </c>
      <c r="G16" s="38">
        <f>AVERAGE('Calculo CEs'!W16:AE16)</f>
        <v/>
      </c>
      <c r="H16" s="38">
        <f>AVERAGE('Calculo CEs'!AF16:AJ16)</f>
        <v/>
      </c>
      <c r="I16" s="54">
        <f>C16*0.18 + D16*0.15 + E16*0.09 + F16*0.18 + G16*0.18 + H16*0.22</f>
        <v/>
      </c>
    </row>
    <row r="17" ht="20" customHeight="1">
      <c r="A17" s="22" t="n">
        <v>12</v>
      </c>
      <c r="B17" s="43" t="inlineStr">
        <is>
          <t>Pérez Rubio, Álvaro</t>
        </is>
      </c>
      <c r="C17" s="44">
        <f>AVERAGE('Calculo CEs'!C17:H17)</f>
        <v/>
      </c>
      <c r="D17" s="44">
        <f>AVERAGE('Calculo CEs'!I17:M17)</f>
        <v/>
      </c>
      <c r="E17" s="44">
        <f>AVERAGE('Calculo CEs'!N17:P17)</f>
        <v/>
      </c>
      <c r="F17" s="44">
        <f>AVERAGE('Calculo CEs'!Q17:V17)</f>
        <v/>
      </c>
      <c r="G17" s="44">
        <f>AVERAGE('Calculo CEs'!W17:AE17)</f>
        <v/>
      </c>
      <c r="H17" s="44">
        <f>AVERAGE('Calculo CEs'!AF17:AJ17)</f>
        <v/>
      </c>
      <c r="I17" s="54">
        <f>C17*0.18 + D17*0.15 + E17*0.09 + F17*0.18 + G17*0.18 + H17*0.22</f>
        <v/>
      </c>
    </row>
    <row r="18" ht="20" customHeight="1">
      <c r="A18" s="15" t="n">
        <v>13</v>
      </c>
      <c r="B18" s="37" t="inlineStr">
        <is>
          <t>Ramírez Soto, Carmen</t>
        </is>
      </c>
      <c r="C18" s="38">
        <f>AVERAGE('Calculo CEs'!C18:H18)</f>
        <v/>
      </c>
      <c r="D18" s="38">
        <f>AVERAGE('Calculo CEs'!I18:M18)</f>
        <v/>
      </c>
      <c r="E18" s="38">
        <f>AVERAGE('Calculo CEs'!N18:P18)</f>
        <v/>
      </c>
      <c r="F18" s="38">
        <f>AVERAGE('Calculo CEs'!Q18:V18)</f>
        <v/>
      </c>
      <c r="G18" s="38">
        <f>AVERAGE('Calculo CEs'!W18:AE18)</f>
        <v/>
      </c>
      <c r="H18" s="38">
        <f>AVERAGE('Calculo CEs'!AF18:AJ18)</f>
        <v/>
      </c>
      <c r="I18" s="54">
        <f>C18*0.18 + D18*0.15 + E18*0.09 + F18*0.18 + G18*0.18 + H18*0.22</f>
        <v/>
      </c>
    </row>
    <row r="19" ht="20" customHeight="1">
      <c r="A19" s="22" t="n">
        <v>14</v>
      </c>
      <c r="B19" s="43" t="inlineStr">
        <is>
          <t>Sánchez Vidal, Daniel</t>
        </is>
      </c>
      <c r="C19" s="44">
        <f>AVERAGE('Calculo CEs'!C19:H19)</f>
        <v/>
      </c>
      <c r="D19" s="44">
        <f>AVERAGE('Calculo CEs'!I19:M19)</f>
        <v/>
      </c>
      <c r="E19" s="44">
        <f>AVERAGE('Calculo CEs'!N19:P19)</f>
        <v/>
      </c>
      <c r="F19" s="44">
        <f>AVERAGE('Calculo CEs'!Q19:V19)</f>
        <v/>
      </c>
      <c r="G19" s="44">
        <f>AVERAGE('Calculo CEs'!W19:AE19)</f>
        <v/>
      </c>
      <c r="H19" s="44">
        <f>AVERAGE('Calculo CEs'!AF19:AJ19)</f>
        <v/>
      </c>
      <c r="I19" s="54">
        <f>C19*0.18 + D19*0.15 + E19*0.09 + F19*0.18 + G19*0.18 + H19*0.22</f>
        <v/>
      </c>
    </row>
    <row r="20" ht="20" customHeight="1">
      <c r="A20" s="15" t="n">
        <v>15</v>
      </c>
      <c r="B20" s="37" t="inlineStr">
        <is>
          <t>Torres Lozano, Irene</t>
        </is>
      </c>
      <c r="C20" s="38">
        <f>AVERAGE('Calculo CEs'!C20:H20)</f>
        <v/>
      </c>
      <c r="D20" s="38">
        <f>AVERAGE('Calculo CEs'!I20:M20)</f>
        <v/>
      </c>
      <c r="E20" s="38">
        <f>AVERAGE('Calculo CEs'!N20:P20)</f>
        <v/>
      </c>
      <c r="F20" s="38">
        <f>AVERAGE('Calculo CEs'!Q20:V20)</f>
        <v/>
      </c>
      <c r="G20" s="38">
        <f>AVERAGE('Calculo CEs'!W20:AE20)</f>
        <v/>
      </c>
      <c r="H20" s="38">
        <f>AVERAGE('Calculo CEs'!AF20:AJ20)</f>
        <v/>
      </c>
      <c r="I20" s="54">
        <f>C20*0.18 + D20*0.15 + E20*0.09 + F20*0.18 + G20*0.18 + H20*0.22</f>
        <v/>
      </c>
    </row>
    <row r="21" ht="24" customHeight="1">
      <c r="A21" s="45" t="inlineStr">
        <is>
          <t>PROMEDIO DEL GRUPO</t>
        </is>
      </c>
      <c r="B21" s="46" t="n"/>
      <c r="C21" s="47">
        <f>AVERAGE(C6:C20)</f>
        <v/>
      </c>
      <c r="D21" s="47">
        <f>AVERAGE(D6:D20)</f>
        <v/>
      </c>
      <c r="E21" s="47">
        <f>AVERAGE(E6:E20)</f>
        <v/>
      </c>
      <c r="F21" s="47">
        <f>AVERAGE(F6:F20)</f>
        <v/>
      </c>
      <c r="G21" s="47">
        <f>AVERAGE(G6:G20)</f>
        <v/>
      </c>
      <c r="H21" s="47">
        <f>AVERAGE(H6:H20)</f>
        <v/>
      </c>
      <c r="I21" s="47">
        <f>AVERAGE(I6:I20)</f>
        <v/>
      </c>
    </row>
  </sheetData>
  <mergeCells count="3">
    <mergeCell ref="A1:I1"/>
    <mergeCell ref="A21:B21"/>
    <mergeCell ref="A2:I2"/>
  </mergeCells>
  <conditionalFormatting sqref="I6:I20">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4"/>
  <sheetViews>
    <sheetView showGridLines="1" workbookViewId="0">
      <selection activeCell="A1" sqref="A1"/>
    </sheetView>
  </sheetViews>
  <sheetFormatPr baseColWidth="8" defaultRowHeight="15"/>
  <cols>
    <col width="5" customWidth="1" min="1" max="1"/>
    <col width="24" customWidth="1" min="2" max="2"/>
    <col width="9" customWidth="1" min="3" max="3"/>
    <col width="9" customWidth="1" min="4" max="4"/>
    <col width="9" customWidth="1" min="5" max="5"/>
    <col width="8" customWidth="1" min="6" max="6"/>
    <col width="8" customWidth="1" min="7" max="7"/>
    <col width="8" customWidth="1" min="8" max="8"/>
    <col width="8" customWidth="1" min="9" max="9"/>
    <col width="8" customWidth="1" min="10" max="10"/>
    <col width="8" customWidth="1" min="11" max="11"/>
    <col width="9" customWidth="1" min="12" max="12"/>
    <col width="16" customWidth="1" min="13" max="13"/>
    <col width="18" customWidth="1" min="14" max="14"/>
    <col width="22" customWidth="1" min="15" max="15"/>
  </cols>
  <sheetData>
    <row r="1" ht="36" customHeight="1">
      <c r="A1" s="1" t="inlineStr">
        <is>
          <t>PANEL DE CONTROL GENERAL — SOSTENIBILIDAD APLICADA (1º DAW / DAM)</t>
        </is>
      </c>
    </row>
    <row r="2" ht="20" customHeight="1">
      <c r="A2" s="2" t="inlineStr">
        <is>
          <t>Síntesis Integral: 3 Trimestres (T1, T2, T3), Resultados de Aprendizaje Oficiales (RA1-RA6) y Calificación Ordinaria</t>
        </is>
      </c>
    </row>
    <row r="4">
      <c r="B4" s="55" t="inlineStr">
        <is>
          <t>ALUMNADO MATRICULADO</t>
        </is>
      </c>
      <c r="E4" s="55" t="inlineStr">
        <is>
          <t>APROBADOS EVAL. ORDINARIA</t>
        </is>
      </c>
      <c r="H4" s="55" t="inlineStr">
        <is>
          <t>SUSPENSOS EVAL. ORDINARIA</t>
        </is>
      </c>
      <c r="K4" s="55" t="inlineStr">
        <is>
          <t>NOTA MEDIA DEL GRUPO</t>
        </is>
      </c>
      <c r="N4" s="55" t="inlineStr">
        <is>
          <t>TASA DE ÉXITO ACADÉMICO</t>
        </is>
      </c>
    </row>
    <row r="5">
      <c r="B5" s="56">
        <f>COUNTA(A9:A23)</f>
        <v/>
      </c>
      <c r="E5" s="57">
        <f>COUNTIF(M9:M23, "&gt;=5")</f>
        <v/>
      </c>
      <c r="H5" s="58">
        <f>COUNTIF(M9:M23, "&lt;5")</f>
        <v/>
      </c>
      <c r="K5" s="59">
        <f>AVERAGE(M9:M23)</f>
        <v/>
      </c>
      <c r="N5" s="60">
        <f>E5/B5</f>
        <v/>
      </c>
    </row>
    <row r="6"/>
    <row r="8" ht="40" customHeight="1">
      <c r="A8" s="35" t="inlineStr">
        <is>
          <t>Nº</t>
        </is>
      </c>
      <c r="B8" s="35" t="inlineStr">
        <is>
          <t>Apellidos, Nombre</t>
        </is>
      </c>
      <c r="C8" s="10" t="inlineStr">
        <is>
          <t>1º Trim
(T1)</t>
        </is>
      </c>
      <c r="D8" s="10" t="inlineStr">
        <is>
          <t>2º Trim
(T2)</t>
        </is>
      </c>
      <c r="E8" s="10" t="inlineStr">
        <is>
          <t>3º Trim
(T3)</t>
        </is>
      </c>
      <c r="F8" s="9" t="inlineStr">
        <is>
          <t>RA1
(18%)</t>
        </is>
      </c>
      <c r="G8" s="9" t="inlineStr">
        <is>
          <t>RA2
(15%)</t>
        </is>
      </c>
      <c r="H8" s="9" t="inlineStr">
        <is>
          <t>RA3
(9%)</t>
        </is>
      </c>
      <c r="I8" s="9" t="inlineStr">
        <is>
          <t>RA4
(18%)</t>
        </is>
      </c>
      <c r="J8" s="9" t="inlineStr">
        <is>
          <t>RA5
(18%)</t>
        </is>
      </c>
      <c r="K8" s="9" t="inlineStr">
        <is>
          <t>RA6
(22%)</t>
        </is>
      </c>
      <c r="L8" s="52" t="inlineStr">
        <is>
          <t>Media
T1-T3</t>
        </is>
      </c>
      <c r="M8" s="52" t="inlineStr">
        <is>
          <t>Nota Final
Ordinaria (Mayo)</t>
        </is>
      </c>
      <c r="N8" s="36" t="inlineStr">
        <is>
          <t>Calificación Cualitativa</t>
        </is>
      </c>
      <c r="O8" s="36" t="inlineStr">
        <is>
          <t>Estado de Superación</t>
        </is>
      </c>
    </row>
    <row r="9" ht="20" customHeight="1">
      <c r="A9" s="22" t="n">
        <v>1</v>
      </c>
      <c r="B9" s="43" t="inlineStr">
        <is>
          <t>Álvarez Gómez, Laura</t>
        </is>
      </c>
      <c r="C9" s="61">
        <f>'Registro Notas'!P6</f>
        <v/>
      </c>
      <c r="D9" s="62">
        <f>'Registro Notas'!Q6</f>
        <v/>
      </c>
      <c r="E9" s="63">
        <f>'Registro Notas'!R6</f>
        <v/>
      </c>
      <c r="F9" s="44">
        <f>'Calculo RAs'!C6</f>
        <v/>
      </c>
      <c r="G9" s="44">
        <f>'Calculo RAs'!D6</f>
        <v/>
      </c>
      <c r="H9" s="44">
        <f>'Calculo RAs'!E6</f>
        <v/>
      </c>
      <c r="I9" s="44">
        <f>'Calculo RAs'!F6</f>
        <v/>
      </c>
      <c r="J9" s="44">
        <f>'Calculo RAs'!G6</f>
        <v/>
      </c>
      <c r="K9" s="44">
        <f>'Calculo RAs'!H6</f>
        <v/>
      </c>
      <c r="L9" s="44">
        <f>AVERAGE(C9, D9, E9)</f>
        <v/>
      </c>
      <c r="M9" s="54">
        <f>'Calculo RAs'!I6</f>
        <v/>
      </c>
      <c r="N9" s="19">
        <f>IF(M9&gt;=9, "SOBRESALIENTE", IF(M9&gt;=7, "NOTABLE", IF(M9&gt;=6, "BIEN", IF(M9&gt;=5, "SUFICIENTE", "INSUFICIENTE"))))</f>
        <v/>
      </c>
      <c r="O9" s="19">
        <f>IF(M9&gt;=5, "SUPERADO", "PENDIENTE EXTRAORD.")</f>
        <v/>
      </c>
    </row>
    <row r="10" ht="20" customHeight="1">
      <c r="A10" s="15" t="n">
        <v>2</v>
      </c>
      <c r="B10" s="37" t="inlineStr">
        <is>
          <t>Benítez Romero, Carlos</t>
        </is>
      </c>
      <c r="C10" s="39">
        <f>'Registro Notas'!P7</f>
        <v/>
      </c>
      <c r="D10" s="40">
        <f>'Registro Notas'!Q7</f>
        <v/>
      </c>
      <c r="E10" s="41">
        <f>'Registro Notas'!R7</f>
        <v/>
      </c>
      <c r="F10" s="38">
        <f>'Calculo RAs'!C7</f>
        <v/>
      </c>
      <c r="G10" s="38">
        <f>'Calculo RAs'!D7</f>
        <v/>
      </c>
      <c r="H10" s="38">
        <f>'Calculo RAs'!E7</f>
        <v/>
      </c>
      <c r="I10" s="38">
        <f>'Calculo RAs'!F7</f>
        <v/>
      </c>
      <c r="J10" s="38">
        <f>'Calculo RAs'!G7</f>
        <v/>
      </c>
      <c r="K10" s="38">
        <f>'Calculo RAs'!H7</f>
        <v/>
      </c>
      <c r="L10" s="38">
        <f>AVERAGE(C10, D10, E10)</f>
        <v/>
      </c>
      <c r="M10" s="54">
        <f>'Calculo RAs'!I7</f>
        <v/>
      </c>
      <c r="N10" s="12">
        <f>IF(M10&gt;=9, "SOBRESALIENTE", IF(M10&gt;=7, "NOTABLE", IF(M10&gt;=6, "BIEN", IF(M10&gt;=5, "SUFICIENTE", "INSUFICIENTE"))))</f>
        <v/>
      </c>
      <c r="O10" s="12">
        <f>IF(M10&gt;=5, "SUPERADO", "PENDIENTE EXTRAORD.")</f>
        <v/>
      </c>
    </row>
    <row r="11" ht="20" customHeight="1">
      <c r="A11" s="22" t="n">
        <v>3</v>
      </c>
      <c r="B11" s="43" t="inlineStr">
        <is>
          <t>Castillo Morales, Elena</t>
        </is>
      </c>
      <c r="C11" s="61">
        <f>'Registro Notas'!P8</f>
        <v/>
      </c>
      <c r="D11" s="62">
        <f>'Registro Notas'!Q8</f>
        <v/>
      </c>
      <c r="E11" s="63">
        <f>'Registro Notas'!R8</f>
        <v/>
      </c>
      <c r="F11" s="44">
        <f>'Calculo RAs'!C8</f>
        <v/>
      </c>
      <c r="G11" s="44">
        <f>'Calculo RAs'!D8</f>
        <v/>
      </c>
      <c r="H11" s="44">
        <f>'Calculo RAs'!E8</f>
        <v/>
      </c>
      <c r="I11" s="44">
        <f>'Calculo RAs'!F8</f>
        <v/>
      </c>
      <c r="J11" s="44">
        <f>'Calculo RAs'!G8</f>
        <v/>
      </c>
      <c r="K11" s="44">
        <f>'Calculo RAs'!H8</f>
        <v/>
      </c>
      <c r="L11" s="44">
        <f>AVERAGE(C11, D11, E11)</f>
        <v/>
      </c>
      <c r="M11" s="54">
        <f>'Calculo RAs'!I8</f>
        <v/>
      </c>
      <c r="N11" s="19">
        <f>IF(M11&gt;=9, "SOBRESALIENTE", IF(M11&gt;=7, "NOTABLE", IF(M11&gt;=6, "BIEN", IF(M11&gt;=5, "SUFICIENTE", "INSUFICIENTE"))))</f>
        <v/>
      </c>
      <c r="O11" s="19">
        <f>IF(M11&gt;=5, "SUPERADO", "PENDIENTE EXTRAORD.")</f>
        <v/>
      </c>
    </row>
    <row r="12" ht="20" customHeight="1">
      <c r="A12" s="15" t="n">
        <v>4</v>
      </c>
      <c r="B12" s="37" t="inlineStr">
        <is>
          <t>Delgado Santos, Alejandro</t>
        </is>
      </c>
      <c r="C12" s="39">
        <f>'Registro Notas'!P9</f>
        <v/>
      </c>
      <c r="D12" s="40">
        <f>'Registro Notas'!Q9</f>
        <v/>
      </c>
      <c r="E12" s="41">
        <f>'Registro Notas'!R9</f>
        <v/>
      </c>
      <c r="F12" s="38">
        <f>'Calculo RAs'!C9</f>
        <v/>
      </c>
      <c r="G12" s="38">
        <f>'Calculo RAs'!D9</f>
        <v/>
      </c>
      <c r="H12" s="38">
        <f>'Calculo RAs'!E9</f>
        <v/>
      </c>
      <c r="I12" s="38">
        <f>'Calculo RAs'!F9</f>
        <v/>
      </c>
      <c r="J12" s="38">
        <f>'Calculo RAs'!G9</f>
        <v/>
      </c>
      <c r="K12" s="38">
        <f>'Calculo RAs'!H9</f>
        <v/>
      </c>
      <c r="L12" s="38">
        <f>AVERAGE(C12, D12, E12)</f>
        <v/>
      </c>
      <c r="M12" s="54">
        <f>'Calculo RAs'!I9</f>
        <v/>
      </c>
      <c r="N12" s="12">
        <f>IF(M12&gt;=9, "SOBRESALIENTE", IF(M12&gt;=7, "NOTABLE", IF(M12&gt;=6, "BIEN", IF(M12&gt;=5, "SUFICIENTE", "INSUFICIENTE"))))</f>
        <v/>
      </c>
      <c r="O12" s="12">
        <f>IF(M12&gt;=5, "SUPERADO", "PENDIENTE EXTRAORD.")</f>
        <v/>
      </c>
    </row>
    <row r="13" ht="20" customHeight="1">
      <c r="A13" s="22" t="n">
        <v>5</v>
      </c>
      <c r="B13" s="43" t="inlineStr">
        <is>
          <t>Fernández Navarro, Lucía</t>
        </is>
      </c>
      <c r="C13" s="61">
        <f>'Registro Notas'!P10</f>
        <v/>
      </c>
      <c r="D13" s="62">
        <f>'Registro Notas'!Q10</f>
        <v/>
      </c>
      <c r="E13" s="63">
        <f>'Registro Notas'!R10</f>
        <v/>
      </c>
      <c r="F13" s="44">
        <f>'Calculo RAs'!C10</f>
        <v/>
      </c>
      <c r="G13" s="44">
        <f>'Calculo RAs'!D10</f>
        <v/>
      </c>
      <c r="H13" s="44">
        <f>'Calculo RAs'!E10</f>
        <v/>
      </c>
      <c r="I13" s="44">
        <f>'Calculo RAs'!F10</f>
        <v/>
      </c>
      <c r="J13" s="44">
        <f>'Calculo RAs'!G10</f>
        <v/>
      </c>
      <c r="K13" s="44">
        <f>'Calculo RAs'!H10</f>
        <v/>
      </c>
      <c r="L13" s="44">
        <f>AVERAGE(C13, D13, E13)</f>
        <v/>
      </c>
      <c r="M13" s="54">
        <f>'Calculo RAs'!I10</f>
        <v/>
      </c>
      <c r="N13" s="19">
        <f>IF(M13&gt;=9, "SOBRESALIENTE", IF(M13&gt;=7, "NOTABLE", IF(M13&gt;=6, "BIEN", IF(M13&gt;=5, "SUFICIENTE", "INSUFICIENTE"))))</f>
        <v/>
      </c>
      <c r="O13" s="19">
        <f>IF(M13&gt;=5, "SUPERADO", "PENDIENTE EXTRAORD.")</f>
        <v/>
      </c>
    </row>
    <row r="14" ht="20" customHeight="1">
      <c r="A14" s="15" t="n">
        <v>6</v>
      </c>
      <c r="B14" s="37" t="inlineStr">
        <is>
          <t>García Serrano, David</t>
        </is>
      </c>
      <c r="C14" s="39">
        <f>'Registro Notas'!P11</f>
        <v/>
      </c>
      <c r="D14" s="40">
        <f>'Registro Notas'!Q11</f>
        <v/>
      </c>
      <c r="E14" s="41">
        <f>'Registro Notas'!R11</f>
        <v/>
      </c>
      <c r="F14" s="38">
        <f>'Calculo RAs'!C11</f>
        <v/>
      </c>
      <c r="G14" s="38">
        <f>'Calculo RAs'!D11</f>
        <v/>
      </c>
      <c r="H14" s="38">
        <f>'Calculo RAs'!E11</f>
        <v/>
      </c>
      <c r="I14" s="38">
        <f>'Calculo RAs'!F11</f>
        <v/>
      </c>
      <c r="J14" s="38">
        <f>'Calculo RAs'!G11</f>
        <v/>
      </c>
      <c r="K14" s="38">
        <f>'Calculo RAs'!H11</f>
        <v/>
      </c>
      <c r="L14" s="38">
        <f>AVERAGE(C14, D14, E14)</f>
        <v/>
      </c>
      <c r="M14" s="54">
        <f>'Calculo RAs'!I11</f>
        <v/>
      </c>
      <c r="N14" s="12">
        <f>IF(M14&gt;=9, "SOBRESALIENTE", IF(M14&gt;=7, "NOTABLE", IF(M14&gt;=6, "BIEN", IF(M14&gt;=5, "SUFICIENTE", "INSUFICIENTE"))))</f>
        <v/>
      </c>
      <c r="O14" s="12">
        <f>IF(M14&gt;=5, "SUPERADO", "PENDIENTE EXTRAORD.")</f>
        <v/>
      </c>
    </row>
    <row r="15" ht="20" customHeight="1">
      <c r="A15" s="22" t="n">
        <v>7</v>
      </c>
      <c r="B15" s="43" t="inlineStr">
        <is>
          <t>Herrera Cruz, Marta</t>
        </is>
      </c>
      <c r="C15" s="61">
        <f>'Registro Notas'!P12</f>
        <v/>
      </c>
      <c r="D15" s="62">
        <f>'Registro Notas'!Q12</f>
        <v/>
      </c>
      <c r="E15" s="63">
        <f>'Registro Notas'!R12</f>
        <v/>
      </c>
      <c r="F15" s="44">
        <f>'Calculo RAs'!C12</f>
        <v/>
      </c>
      <c r="G15" s="44">
        <f>'Calculo RAs'!D12</f>
        <v/>
      </c>
      <c r="H15" s="44">
        <f>'Calculo RAs'!E12</f>
        <v/>
      </c>
      <c r="I15" s="44">
        <f>'Calculo RAs'!F12</f>
        <v/>
      </c>
      <c r="J15" s="44">
        <f>'Calculo RAs'!G12</f>
        <v/>
      </c>
      <c r="K15" s="44">
        <f>'Calculo RAs'!H12</f>
        <v/>
      </c>
      <c r="L15" s="44">
        <f>AVERAGE(C15, D15, E15)</f>
        <v/>
      </c>
      <c r="M15" s="54">
        <f>'Calculo RAs'!I12</f>
        <v/>
      </c>
      <c r="N15" s="19">
        <f>IF(M15&gt;=9, "SOBRESALIENTE", IF(M15&gt;=7, "NOTABLE", IF(M15&gt;=6, "BIEN", IF(M15&gt;=5, "SUFICIENTE", "INSUFICIENTE"))))</f>
        <v/>
      </c>
      <c r="O15" s="19">
        <f>IF(M15&gt;=5, "SUPERADO", "PENDIENTE EXTRAORD.")</f>
        <v/>
      </c>
    </row>
    <row r="16" ht="20" customHeight="1">
      <c r="A16" s="15" t="n">
        <v>8</v>
      </c>
      <c r="B16" s="37" t="inlineStr">
        <is>
          <t>Jiménez Ortiz, Pablo</t>
        </is>
      </c>
      <c r="C16" s="39">
        <f>'Registro Notas'!P13</f>
        <v/>
      </c>
      <c r="D16" s="40">
        <f>'Registro Notas'!Q13</f>
        <v/>
      </c>
      <c r="E16" s="41">
        <f>'Registro Notas'!R13</f>
        <v/>
      </c>
      <c r="F16" s="38">
        <f>'Calculo RAs'!C13</f>
        <v/>
      </c>
      <c r="G16" s="38">
        <f>'Calculo RAs'!D13</f>
        <v/>
      </c>
      <c r="H16" s="38">
        <f>'Calculo RAs'!E13</f>
        <v/>
      </c>
      <c r="I16" s="38">
        <f>'Calculo RAs'!F13</f>
        <v/>
      </c>
      <c r="J16" s="38">
        <f>'Calculo RAs'!G13</f>
        <v/>
      </c>
      <c r="K16" s="38">
        <f>'Calculo RAs'!H13</f>
        <v/>
      </c>
      <c r="L16" s="38">
        <f>AVERAGE(C16, D16, E16)</f>
        <v/>
      </c>
      <c r="M16" s="54">
        <f>'Calculo RAs'!I13</f>
        <v/>
      </c>
      <c r="N16" s="12">
        <f>IF(M16&gt;=9, "SOBRESALIENTE", IF(M16&gt;=7, "NOTABLE", IF(M16&gt;=6, "BIEN", IF(M16&gt;=5, "SUFICIENTE", "INSUFICIENTE"))))</f>
        <v/>
      </c>
      <c r="O16" s="12">
        <f>IF(M16&gt;=5, "SUPERADO", "PENDIENTE EXTRAORD.")</f>
        <v/>
      </c>
    </row>
    <row r="17" ht="20" customHeight="1">
      <c r="A17" s="22" t="n">
        <v>9</v>
      </c>
      <c r="B17" s="43" t="inlineStr">
        <is>
          <t>López Molina, Sara</t>
        </is>
      </c>
      <c r="C17" s="61">
        <f>'Registro Notas'!P14</f>
        <v/>
      </c>
      <c r="D17" s="62">
        <f>'Registro Notas'!Q14</f>
        <v/>
      </c>
      <c r="E17" s="63">
        <f>'Registro Notas'!R14</f>
        <v/>
      </c>
      <c r="F17" s="44">
        <f>'Calculo RAs'!C14</f>
        <v/>
      </c>
      <c r="G17" s="44">
        <f>'Calculo RAs'!D14</f>
        <v/>
      </c>
      <c r="H17" s="44">
        <f>'Calculo RAs'!E14</f>
        <v/>
      </c>
      <c r="I17" s="44">
        <f>'Calculo RAs'!F14</f>
        <v/>
      </c>
      <c r="J17" s="44">
        <f>'Calculo RAs'!G14</f>
        <v/>
      </c>
      <c r="K17" s="44">
        <f>'Calculo RAs'!H14</f>
        <v/>
      </c>
      <c r="L17" s="44">
        <f>AVERAGE(C17, D17, E17)</f>
        <v/>
      </c>
      <c r="M17" s="54">
        <f>'Calculo RAs'!I14</f>
        <v/>
      </c>
      <c r="N17" s="19">
        <f>IF(M17&gt;=9, "SOBRESALIENTE", IF(M17&gt;=7, "NOTABLE", IF(M17&gt;=6, "BIEN", IF(M17&gt;=5, "SUFICIENTE", "INSUFICIENTE"))))</f>
        <v/>
      </c>
      <c r="O17" s="19">
        <f>IF(M17&gt;=5, "SUPERADO", "PENDIENTE EXTRAORD.")</f>
        <v/>
      </c>
    </row>
    <row r="18" ht="20" customHeight="1">
      <c r="A18" s="15" t="n">
        <v>10</v>
      </c>
      <c r="B18" s="37" t="inlineStr">
        <is>
          <t>Martín Vega, Javier</t>
        </is>
      </c>
      <c r="C18" s="39">
        <f>'Registro Notas'!P15</f>
        <v/>
      </c>
      <c r="D18" s="40">
        <f>'Registro Notas'!Q15</f>
        <v/>
      </c>
      <c r="E18" s="41">
        <f>'Registro Notas'!R15</f>
        <v/>
      </c>
      <c r="F18" s="38">
        <f>'Calculo RAs'!C15</f>
        <v/>
      </c>
      <c r="G18" s="38">
        <f>'Calculo RAs'!D15</f>
        <v/>
      </c>
      <c r="H18" s="38">
        <f>'Calculo RAs'!E15</f>
        <v/>
      </c>
      <c r="I18" s="38">
        <f>'Calculo RAs'!F15</f>
        <v/>
      </c>
      <c r="J18" s="38">
        <f>'Calculo RAs'!G15</f>
        <v/>
      </c>
      <c r="K18" s="38">
        <f>'Calculo RAs'!H15</f>
        <v/>
      </c>
      <c r="L18" s="38">
        <f>AVERAGE(C18, D18, E18)</f>
        <v/>
      </c>
      <c r="M18" s="54">
        <f>'Calculo RAs'!I15</f>
        <v/>
      </c>
      <c r="N18" s="12">
        <f>IF(M18&gt;=9, "SOBRESALIENTE", IF(M18&gt;=7, "NOTABLE", IF(M18&gt;=6, "BIEN", IF(M18&gt;=5, "SUFICIENTE", "INSUFICIENTE"))))</f>
        <v/>
      </c>
      <c r="O18" s="12">
        <f>IF(M18&gt;=5, "SUPERADO", "PENDIENTE EXTRAORD.")</f>
        <v/>
      </c>
    </row>
    <row r="19" ht="20" customHeight="1">
      <c r="A19" s="22" t="n">
        <v>11</v>
      </c>
      <c r="B19" s="43" t="inlineStr">
        <is>
          <t>Navarro Gil, Ana</t>
        </is>
      </c>
      <c r="C19" s="61">
        <f>'Registro Notas'!P16</f>
        <v/>
      </c>
      <c r="D19" s="62">
        <f>'Registro Notas'!Q16</f>
        <v/>
      </c>
      <c r="E19" s="63">
        <f>'Registro Notas'!R16</f>
        <v/>
      </c>
      <c r="F19" s="44">
        <f>'Calculo RAs'!C16</f>
        <v/>
      </c>
      <c r="G19" s="44">
        <f>'Calculo RAs'!D16</f>
        <v/>
      </c>
      <c r="H19" s="44">
        <f>'Calculo RAs'!E16</f>
        <v/>
      </c>
      <c r="I19" s="44">
        <f>'Calculo RAs'!F16</f>
        <v/>
      </c>
      <c r="J19" s="44">
        <f>'Calculo RAs'!G16</f>
        <v/>
      </c>
      <c r="K19" s="44">
        <f>'Calculo RAs'!H16</f>
        <v/>
      </c>
      <c r="L19" s="44">
        <f>AVERAGE(C19, D19, E19)</f>
        <v/>
      </c>
      <c r="M19" s="54">
        <f>'Calculo RAs'!I16</f>
        <v/>
      </c>
      <c r="N19" s="19">
        <f>IF(M19&gt;=9, "SOBRESALIENTE", IF(M19&gt;=7, "NOTABLE", IF(M19&gt;=6, "BIEN", IF(M19&gt;=5, "SUFICIENTE", "INSUFICIENTE"))))</f>
        <v/>
      </c>
      <c r="O19" s="19">
        <f>IF(M19&gt;=5, "SUPERADO", "PENDIENTE EXTRAORD.")</f>
        <v/>
      </c>
    </row>
    <row r="20" ht="20" customHeight="1">
      <c r="A20" s="15" t="n">
        <v>12</v>
      </c>
      <c r="B20" s="37" t="inlineStr">
        <is>
          <t>Pérez Rubio, Álvaro</t>
        </is>
      </c>
      <c r="C20" s="39">
        <f>'Registro Notas'!P17</f>
        <v/>
      </c>
      <c r="D20" s="40">
        <f>'Registro Notas'!Q17</f>
        <v/>
      </c>
      <c r="E20" s="41">
        <f>'Registro Notas'!R17</f>
        <v/>
      </c>
      <c r="F20" s="38">
        <f>'Calculo RAs'!C17</f>
        <v/>
      </c>
      <c r="G20" s="38">
        <f>'Calculo RAs'!D17</f>
        <v/>
      </c>
      <c r="H20" s="38">
        <f>'Calculo RAs'!E17</f>
        <v/>
      </c>
      <c r="I20" s="38">
        <f>'Calculo RAs'!F17</f>
        <v/>
      </c>
      <c r="J20" s="38">
        <f>'Calculo RAs'!G17</f>
        <v/>
      </c>
      <c r="K20" s="38">
        <f>'Calculo RAs'!H17</f>
        <v/>
      </c>
      <c r="L20" s="38">
        <f>AVERAGE(C20, D20, E20)</f>
        <v/>
      </c>
      <c r="M20" s="54">
        <f>'Calculo RAs'!I17</f>
        <v/>
      </c>
      <c r="N20" s="12">
        <f>IF(M20&gt;=9, "SOBRESALIENTE", IF(M20&gt;=7, "NOTABLE", IF(M20&gt;=6, "BIEN", IF(M20&gt;=5, "SUFICIENTE", "INSUFICIENTE"))))</f>
        <v/>
      </c>
      <c r="O20" s="12">
        <f>IF(M20&gt;=5, "SUPERADO", "PENDIENTE EXTRAORD.")</f>
        <v/>
      </c>
    </row>
    <row r="21" ht="20" customHeight="1">
      <c r="A21" s="22" t="n">
        <v>13</v>
      </c>
      <c r="B21" s="43" t="inlineStr">
        <is>
          <t>Ramírez Soto, Carmen</t>
        </is>
      </c>
      <c r="C21" s="61">
        <f>'Registro Notas'!P18</f>
        <v/>
      </c>
      <c r="D21" s="62">
        <f>'Registro Notas'!Q18</f>
        <v/>
      </c>
      <c r="E21" s="63">
        <f>'Registro Notas'!R18</f>
        <v/>
      </c>
      <c r="F21" s="44">
        <f>'Calculo RAs'!C18</f>
        <v/>
      </c>
      <c r="G21" s="44">
        <f>'Calculo RAs'!D18</f>
        <v/>
      </c>
      <c r="H21" s="44">
        <f>'Calculo RAs'!E18</f>
        <v/>
      </c>
      <c r="I21" s="44">
        <f>'Calculo RAs'!F18</f>
        <v/>
      </c>
      <c r="J21" s="44">
        <f>'Calculo RAs'!G18</f>
        <v/>
      </c>
      <c r="K21" s="44">
        <f>'Calculo RAs'!H18</f>
        <v/>
      </c>
      <c r="L21" s="44">
        <f>AVERAGE(C21, D21, E21)</f>
        <v/>
      </c>
      <c r="M21" s="54">
        <f>'Calculo RAs'!I18</f>
        <v/>
      </c>
      <c r="N21" s="19">
        <f>IF(M21&gt;=9, "SOBRESALIENTE", IF(M21&gt;=7, "NOTABLE", IF(M21&gt;=6, "BIEN", IF(M21&gt;=5, "SUFICIENTE", "INSUFICIENTE"))))</f>
        <v/>
      </c>
      <c r="O21" s="19">
        <f>IF(M21&gt;=5, "SUPERADO", "PENDIENTE EXTRAORD.")</f>
        <v/>
      </c>
    </row>
    <row r="22" ht="20" customHeight="1">
      <c r="A22" s="15" t="n">
        <v>14</v>
      </c>
      <c r="B22" s="37" t="inlineStr">
        <is>
          <t>Sánchez Vidal, Daniel</t>
        </is>
      </c>
      <c r="C22" s="39">
        <f>'Registro Notas'!P19</f>
        <v/>
      </c>
      <c r="D22" s="40">
        <f>'Registro Notas'!Q19</f>
        <v/>
      </c>
      <c r="E22" s="41">
        <f>'Registro Notas'!R19</f>
        <v/>
      </c>
      <c r="F22" s="38">
        <f>'Calculo RAs'!C19</f>
        <v/>
      </c>
      <c r="G22" s="38">
        <f>'Calculo RAs'!D19</f>
        <v/>
      </c>
      <c r="H22" s="38">
        <f>'Calculo RAs'!E19</f>
        <v/>
      </c>
      <c r="I22" s="38">
        <f>'Calculo RAs'!F19</f>
        <v/>
      </c>
      <c r="J22" s="38">
        <f>'Calculo RAs'!G19</f>
        <v/>
      </c>
      <c r="K22" s="38">
        <f>'Calculo RAs'!H19</f>
        <v/>
      </c>
      <c r="L22" s="38">
        <f>AVERAGE(C22, D22, E22)</f>
        <v/>
      </c>
      <c r="M22" s="54">
        <f>'Calculo RAs'!I19</f>
        <v/>
      </c>
      <c r="N22" s="12">
        <f>IF(M22&gt;=9, "SOBRESALIENTE", IF(M22&gt;=7, "NOTABLE", IF(M22&gt;=6, "BIEN", IF(M22&gt;=5, "SUFICIENTE", "INSUFICIENTE"))))</f>
        <v/>
      </c>
      <c r="O22" s="12">
        <f>IF(M22&gt;=5, "SUPERADO", "PENDIENTE EXTRAORD.")</f>
        <v/>
      </c>
    </row>
    <row r="23" ht="20" customHeight="1">
      <c r="A23" s="22" t="n">
        <v>15</v>
      </c>
      <c r="B23" s="43" t="inlineStr">
        <is>
          <t>Torres Lozano, Irene</t>
        </is>
      </c>
      <c r="C23" s="61">
        <f>'Registro Notas'!P20</f>
        <v/>
      </c>
      <c r="D23" s="62">
        <f>'Registro Notas'!Q20</f>
        <v/>
      </c>
      <c r="E23" s="63">
        <f>'Registro Notas'!R20</f>
        <v/>
      </c>
      <c r="F23" s="44">
        <f>'Calculo RAs'!C20</f>
        <v/>
      </c>
      <c r="G23" s="44">
        <f>'Calculo RAs'!D20</f>
        <v/>
      </c>
      <c r="H23" s="44">
        <f>'Calculo RAs'!E20</f>
        <v/>
      </c>
      <c r="I23" s="44">
        <f>'Calculo RAs'!F20</f>
        <v/>
      </c>
      <c r="J23" s="44">
        <f>'Calculo RAs'!G20</f>
        <v/>
      </c>
      <c r="K23" s="44">
        <f>'Calculo RAs'!H20</f>
        <v/>
      </c>
      <c r="L23" s="44">
        <f>AVERAGE(C23, D23, E23)</f>
        <v/>
      </c>
      <c r="M23" s="54">
        <f>'Calculo RAs'!I20</f>
        <v/>
      </c>
      <c r="N23" s="19">
        <f>IF(M23&gt;=9, "SOBRESALIENTE", IF(M23&gt;=7, "NOTABLE", IF(M23&gt;=6, "BIEN", IF(M23&gt;=5, "SUFICIENTE", "INSUFICIENTE"))))</f>
        <v/>
      </c>
      <c r="O23" s="19">
        <f>IF(M23&gt;=5, "SUPERADO", "PENDIENTE EXTRAORD.")</f>
        <v/>
      </c>
    </row>
    <row r="24" ht="24" customHeight="1">
      <c r="A24" s="45" t="inlineStr">
        <is>
          <t>PROMEDIO DEL GRUPO</t>
        </is>
      </c>
      <c r="B24" s="46" t="n"/>
      <c r="C24" s="47">
        <f>AVERAGE(C9:C23)</f>
        <v/>
      </c>
      <c r="D24" s="47">
        <f>AVERAGE(D9:D23)</f>
        <v/>
      </c>
      <c r="E24" s="47">
        <f>AVERAGE(E9:E23)</f>
        <v/>
      </c>
      <c r="F24" s="47">
        <f>AVERAGE(F9:F23)</f>
        <v/>
      </c>
      <c r="G24" s="47">
        <f>AVERAGE(G9:G23)</f>
        <v/>
      </c>
      <c r="H24" s="47">
        <f>AVERAGE(H9:H23)</f>
        <v/>
      </c>
      <c r="I24" s="47">
        <f>AVERAGE(I9:I23)</f>
        <v/>
      </c>
      <c r="J24" s="47">
        <f>AVERAGE(J9:J23)</f>
        <v/>
      </c>
      <c r="K24" s="47">
        <f>AVERAGE(K9:K23)</f>
        <v/>
      </c>
      <c r="L24" s="47">
        <f>AVERAGE(L9:L23)</f>
        <v/>
      </c>
      <c r="M24" s="47">
        <f>AVERAGE(M9:M23)</f>
        <v/>
      </c>
      <c r="N24" s="64" t="inlineStr"/>
      <c r="O24" s="64" t="inlineStr"/>
    </row>
  </sheetData>
  <mergeCells count="13">
    <mergeCell ref="E4:F4"/>
    <mergeCell ref="A24:B24"/>
    <mergeCell ref="A2:O2"/>
    <mergeCell ref="B5:C6"/>
    <mergeCell ref="A1:O1"/>
    <mergeCell ref="E5:F6"/>
    <mergeCell ref="K5:L6"/>
    <mergeCell ref="H4:I4"/>
    <mergeCell ref="H5:I6"/>
    <mergeCell ref="K4:L4"/>
    <mergeCell ref="N5:O6"/>
    <mergeCell ref="B4:C4"/>
    <mergeCell ref="N4:O4"/>
  </mergeCells>
  <conditionalFormatting sqref="M9:M23">
    <cfRule type="cellIs" priority="1" operator="greaterThanOrEqual" dxfId="0" stopIfTrue="1">
      <formula>5.0</formula>
    </cfRule>
    <cfRule type="cellIs" priority="2" operator="lessThan" dxfId="1" stopIfTrue="1">
      <formula>5.0</formula>
    </cfRule>
  </conditionalFormatting>
  <conditionalFormatting sqref="O9:O23">
    <cfRule type="cellIs" priority="3" operator="equal" dxfId="0" stopIfTrue="1">
      <formula>"SUPERADO"</formula>
    </cfRule>
    <cfRule type="cellIs" priority="4" operator="equal" dxfId="1" stopIfTrue="1">
      <formula>"PENDIENTE EXTRAORD."</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showGridLines="1" workbookViewId="0">
      <selection activeCell="A1" sqref="A1"/>
    </sheetView>
  </sheetViews>
  <sheetFormatPr baseColWidth="8" defaultRowHeight="15"/>
  <cols>
    <col width="5" customWidth="1" min="1" max="1"/>
    <col width="25" customWidth="1" min="2" max="2"/>
    <col width="15" customWidth="1" min="3" max="3"/>
    <col width="22" customWidth="1" min="4" max="4"/>
    <col width="20" customWidth="1" min="5" max="5"/>
    <col width="18" customWidth="1" min="6" max="6"/>
    <col width="18" customWidth="1" min="7" max="7"/>
    <col width="18" customWidth="1" min="8" max="8"/>
    <col width="20" customWidth="1" min="9" max="9"/>
    <col width="20" customWidth="1" min="10" max="10"/>
  </cols>
  <sheetData>
    <row r="1" ht="36" customHeight="1">
      <c r="A1" s="1" t="inlineStr">
        <is>
          <t>SEGUIMIENTO DE TRANSFERENCIA DUAL Y CONVOCATORIA EXTRAORDINARIA (1º DAW / DAM)</t>
        </is>
      </c>
    </row>
    <row r="2" ht="20" customHeight="1">
      <c r="A2" s="2" t="inlineStr">
        <is>
          <t>Vinculación ASG con la Empresa Colaboradora Dual y Registro de Recuperación en Convocatoria Extraordinaria de Junio</t>
        </is>
      </c>
    </row>
    <row r="4" ht="38" customHeight="1">
      <c r="A4" s="35" t="inlineStr">
        <is>
          <t>Nº</t>
        </is>
      </c>
      <c r="B4" s="35" t="inlineStr">
        <is>
          <t>Apellidos, Nombre</t>
        </is>
      </c>
      <c r="C4" s="9" t="inlineStr">
        <is>
          <t>Nota Ordinaria
(Mayo)</t>
        </is>
      </c>
      <c r="D4" s="9" t="inlineStr">
        <is>
          <t>Empresa TIC Asignada</t>
        </is>
      </c>
      <c r="E4" s="9" t="inlineStr">
        <is>
          <t>Tutor/a Laboral</t>
        </is>
      </c>
      <c r="F4" s="9" t="inlineStr">
        <is>
          <t>Compromiso ASG Dual
(Informe / Caso)</t>
        </is>
      </c>
      <c r="G4" s="9" t="inlineStr">
        <is>
          <t>Valoración Dual
(Apto / Pendiente)</t>
        </is>
      </c>
      <c r="H4" s="36" t="inlineStr">
        <is>
          <t>RAs Pendientes
(Extraordinaria)</t>
        </is>
      </c>
      <c r="I4" s="36" t="inlineStr">
        <is>
          <t>Nota Convocatoria
Extraordinaria (Junio)</t>
        </is>
      </c>
      <c r="J4" s="36" t="inlineStr">
        <is>
          <t>Calificación Definitiva
Curso Académico</t>
        </is>
      </c>
    </row>
    <row r="5" ht="20" customHeight="1">
      <c r="A5" s="22" t="n">
        <v>1</v>
      </c>
      <c r="B5" s="43" t="inlineStr">
        <is>
          <t>Álvarez Gómez, Laura</t>
        </is>
      </c>
      <c r="C5" s="42">
        <f>'Panel de Control'!M9</f>
        <v/>
      </c>
      <c r="D5" s="21" t="inlineStr">
        <is>
          <t>EcoSoftware Andalucía</t>
        </is>
      </c>
      <c r="E5" s="21" t="inlineStr">
        <is>
          <t>D. Jorge Cazorla</t>
        </is>
      </c>
      <c r="F5" s="22" t="inlineStr">
        <is>
          <t>Auditoría RAEE / PUE</t>
        </is>
      </c>
      <c r="G5" s="19">
        <f>IF(C5&gt;=5, "APTO", "PENDIENTE")</f>
        <v/>
      </c>
      <c r="H5" s="22">
        <f>IF(C5&lt;5, "RA4, RA6", "Ninguno")</f>
        <v/>
      </c>
      <c r="I5" s="44" t="inlineStr"/>
      <c r="J5" s="65">
        <f>IF(ISBLANK(I5), C5, MAX(C5, I5))</f>
        <v/>
      </c>
    </row>
    <row r="6" ht="20" customHeight="1">
      <c r="A6" s="15" t="n">
        <v>2</v>
      </c>
      <c r="B6" s="37" t="inlineStr">
        <is>
          <t>Benítez Romero, Carlos</t>
        </is>
      </c>
      <c r="C6" s="42">
        <f>'Panel de Control'!M10</f>
        <v/>
      </c>
      <c r="D6" s="14" t="inlineStr">
        <is>
          <t>GreenCloud Solutions S.L.</t>
        </is>
      </c>
      <c r="E6" s="14" t="inlineStr">
        <is>
          <t>Ing. Cristina Morales</t>
        </is>
      </c>
      <c r="F6" s="15" t="inlineStr">
        <is>
          <t>Auditoría RAEE / PUE</t>
        </is>
      </c>
      <c r="G6" s="12">
        <f>IF(C6&gt;=5, "APTO", "PENDIENTE")</f>
        <v/>
      </c>
      <c r="H6" s="15">
        <f>IF(C6&lt;5, "RA4, RA6", "Ninguno")</f>
        <v/>
      </c>
      <c r="I6" s="38" t="inlineStr"/>
      <c r="J6" s="65">
        <f>IF(ISBLANK(I6), C6, MAX(C6, I6))</f>
        <v/>
      </c>
    </row>
    <row r="7" ht="20" customHeight="1">
      <c r="A7" s="22" t="n">
        <v>3</v>
      </c>
      <c r="B7" s="43" t="inlineStr">
        <is>
          <t>Castillo Morales, Elena</t>
        </is>
      </c>
      <c r="C7" s="42">
        <f>'Panel de Control'!M11</f>
        <v/>
      </c>
      <c r="D7" s="21" t="inlineStr">
        <is>
          <t>EcoSoftware Andalucía</t>
        </is>
      </c>
      <c r="E7" s="21" t="inlineStr">
        <is>
          <t>D. Jorge Cazorla</t>
        </is>
      </c>
      <c r="F7" s="22" t="inlineStr">
        <is>
          <t>Auditoría RAEE / PUE</t>
        </is>
      </c>
      <c r="G7" s="19">
        <f>IF(C7&gt;=5, "APTO", "PENDIENTE")</f>
        <v/>
      </c>
      <c r="H7" s="22">
        <f>IF(C7&lt;5, "RA4, RA6", "Ninguno")</f>
        <v/>
      </c>
      <c r="I7" s="44" t="inlineStr"/>
      <c r="J7" s="65">
        <f>IF(ISBLANK(I7), C7, MAX(C7, I7))</f>
        <v/>
      </c>
    </row>
    <row r="8" ht="20" customHeight="1">
      <c r="A8" s="15" t="n">
        <v>4</v>
      </c>
      <c r="B8" s="37" t="inlineStr">
        <is>
          <t>Delgado Santos, Alejandro</t>
        </is>
      </c>
      <c r="C8" s="42">
        <f>'Panel de Control'!M12</f>
        <v/>
      </c>
      <c r="D8" s="14" t="inlineStr">
        <is>
          <t>GreenCloud Solutions S.L.</t>
        </is>
      </c>
      <c r="E8" s="14" t="inlineStr">
        <is>
          <t>Ing. Cristina Morales</t>
        </is>
      </c>
      <c r="F8" s="15" t="inlineStr">
        <is>
          <t>Auditoría RAEE / PUE</t>
        </is>
      </c>
      <c r="G8" s="12">
        <f>IF(C8&gt;=5, "APTO", "PENDIENTE")</f>
        <v/>
      </c>
      <c r="H8" s="15">
        <f>IF(C8&lt;5, "RA4, RA6", "Ninguno")</f>
        <v/>
      </c>
      <c r="I8" s="38" t="inlineStr"/>
      <c r="J8" s="65">
        <f>IF(ISBLANK(I8), C8, MAX(C8, I8))</f>
        <v/>
      </c>
    </row>
    <row r="9" ht="20" customHeight="1">
      <c r="A9" s="22" t="n">
        <v>5</v>
      </c>
      <c r="B9" s="43" t="inlineStr">
        <is>
          <t>Fernández Navarro, Lucía</t>
        </is>
      </c>
      <c r="C9" s="42">
        <f>'Panel de Control'!M13</f>
        <v/>
      </c>
      <c r="D9" s="21" t="inlineStr">
        <is>
          <t>EcoSoftware Andalucía</t>
        </is>
      </c>
      <c r="E9" s="21" t="inlineStr">
        <is>
          <t>D. Jorge Cazorla</t>
        </is>
      </c>
      <c r="F9" s="22" t="inlineStr">
        <is>
          <t>Auditoría RAEE / PUE</t>
        </is>
      </c>
      <c r="G9" s="19">
        <f>IF(C9&gt;=5, "APTO", "PENDIENTE")</f>
        <v/>
      </c>
      <c r="H9" s="22">
        <f>IF(C9&lt;5, "RA4, RA6", "Ninguno")</f>
        <v/>
      </c>
      <c r="I9" s="44" t="inlineStr"/>
      <c r="J9" s="65">
        <f>IF(ISBLANK(I9), C9, MAX(C9, I9))</f>
        <v/>
      </c>
    </row>
    <row r="10" ht="20" customHeight="1">
      <c r="A10" s="15" t="n">
        <v>6</v>
      </c>
      <c r="B10" s="37" t="inlineStr">
        <is>
          <t>García Serrano, David</t>
        </is>
      </c>
      <c r="C10" s="42">
        <f>'Panel de Control'!M14</f>
        <v/>
      </c>
      <c r="D10" s="14" t="inlineStr">
        <is>
          <t>GreenCloud Solutions S.L.</t>
        </is>
      </c>
      <c r="E10" s="14" t="inlineStr">
        <is>
          <t>Ing. Cristina Morales</t>
        </is>
      </c>
      <c r="F10" s="15" t="inlineStr">
        <is>
          <t>Auditoría RAEE / PUE</t>
        </is>
      </c>
      <c r="G10" s="12">
        <f>IF(C10&gt;=5, "APTO", "PENDIENTE")</f>
        <v/>
      </c>
      <c r="H10" s="15">
        <f>IF(C10&lt;5, "RA4, RA6", "Ninguno")</f>
        <v/>
      </c>
      <c r="I10" s="38" t="inlineStr"/>
      <c r="J10" s="65">
        <f>IF(ISBLANK(I10), C10, MAX(C10, I10))</f>
        <v/>
      </c>
    </row>
    <row r="11" ht="20" customHeight="1">
      <c r="A11" s="22" t="n">
        <v>7</v>
      </c>
      <c r="B11" s="43" t="inlineStr">
        <is>
          <t>Herrera Cruz, Marta</t>
        </is>
      </c>
      <c r="C11" s="42">
        <f>'Panel de Control'!M15</f>
        <v/>
      </c>
      <c r="D11" s="21" t="inlineStr">
        <is>
          <t>EcoSoftware Andalucía</t>
        </is>
      </c>
      <c r="E11" s="21" t="inlineStr">
        <is>
          <t>D. Jorge Cazorla</t>
        </is>
      </c>
      <c r="F11" s="22" t="inlineStr">
        <is>
          <t>Auditoría RAEE / PUE</t>
        </is>
      </c>
      <c r="G11" s="19">
        <f>IF(C11&gt;=5, "APTO", "PENDIENTE")</f>
        <v/>
      </c>
      <c r="H11" s="22">
        <f>IF(C11&lt;5, "RA4, RA6", "Ninguno")</f>
        <v/>
      </c>
      <c r="I11" s="44" t="inlineStr"/>
      <c r="J11" s="65">
        <f>IF(ISBLANK(I11), C11, MAX(C11, I11))</f>
        <v/>
      </c>
    </row>
    <row r="12" ht="20" customHeight="1">
      <c r="A12" s="15" t="n">
        <v>8</v>
      </c>
      <c r="B12" s="37" t="inlineStr">
        <is>
          <t>Jiménez Ortiz, Pablo</t>
        </is>
      </c>
      <c r="C12" s="42">
        <f>'Panel de Control'!M16</f>
        <v/>
      </c>
      <c r="D12" s="14" t="inlineStr">
        <is>
          <t>GreenCloud Solutions S.L.</t>
        </is>
      </c>
      <c r="E12" s="14" t="inlineStr">
        <is>
          <t>Ing. Cristina Morales</t>
        </is>
      </c>
      <c r="F12" s="15" t="inlineStr">
        <is>
          <t>Auditoría RAEE / PUE</t>
        </is>
      </c>
      <c r="G12" s="12">
        <f>IF(C12&gt;=5, "APTO", "PENDIENTE")</f>
        <v/>
      </c>
      <c r="H12" s="15">
        <f>IF(C12&lt;5, "RA4, RA6", "Ninguno")</f>
        <v/>
      </c>
      <c r="I12" s="38" t="inlineStr"/>
      <c r="J12" s="65">
        <f>IF(ISBLANK(I12), C12, MAX(C12, I12))</f>
        <v/>
      </c>
    </row>
    <row r="13" ht="20" customHeight="1">
      <c r="A13" s="22" t="n">
        <v>9</v>
      </c>
      <c r="B13" s="43" t="inlineStr">
        <is>
          <t>López Molina, Sara</t>
        </is>
      </c>
      <c r="C13" s="42">
        <f>'Panel de Control'!M17</f>
        <v/>
      </c>
      <c r="D13" s="21" t="inlineStr">
        <is>
          <t>EcoSoftware Andalucía</t>
        </is>
      </c>
      <c r="E13" s="21" t="inlineStr">
        <is>
          <t>D. Jorge Cazorla</t>
        </is>
      </c>
      <c r="F13" s="22" t="inlineStr">
        <is>
          <t>Auditoría RAEE / PUE</t>
        </is>
      </c>
      <c r="G13" s="19">
        <f>IF(C13&gt;=5, "APTO", "PENDIENTE")</f>
        <v/>
      </c>
      <c r="H13" s="22">
        <f>IF(C13&lt;5, "RA4, RA6", "Ninguno")</f>
        <v/>
      </c>
      <c r="I13" s="44" t="inlineStr"/>
      <c r="J13" s="65">
        <f>IF(ISBLANK(I13), C13, MAX(C13, I13))</f>
        <v/>
      </c>
    </row>
    <row r="14" ht="20" customHeight="1">
      <c r="A14" s="15" t="n">
        <v>10</v>
      </c>
      <c r="B14" s="37" t="inlineStr">
        <is>
          <t>Martín Vega, Javier</t>
        </is>
      </c>
      <c r="C14" s="42">
        <f>'Panel de Control'!M18</f>
        <v/>
      </c>
      <c r="D14" s="14" t="inlineStr">
        <is>
          <t>GreenCloud Solutions S.L.</t>
        </is>
      </c>
      <c r="E14" s="14" t="inlineStr">
        <is>
          <t>Ing. Cristina Morales</t>
        </is>
      </c>
      <c r="F14" s="15" t="inlineStr">
        <is>
          <t>Auditoría RAEE / PUE</t>
        </is>
      </c>
      <c r="G14" s="12">
        <f>IF(C14&gt;=5, "APTO", "PENDIENTE")</f>
        <v/>
      </c>
      <c r="H14" s="15">
        <f>IF(C14&lt;5, "RA4, RA6", "Ninguno")</f>
        <v/>
      </c>
      <c r="I14" s="38" t="inlineStr"/>
      <c r="J14" s="65">
        <f>IF(ISBLANK(I14), C14, MAX(C14, I14))</f>
        <v/>
      </c>
    </row>
    <row r="15" ht="20" customHeight="1">
      <c r="A15" s="22" t="n">
        <v>11</v>
      </c>
      <c r="B15" s="43" t="inlineStr">
        <is>
          <t>Navarro Gil, Ana</t>
        </is>
      </c>
      <c r="C15" s="42">
        <f>'Panel de Control'!M19</f>
        <v/>
      </c>
      <c r="D15" s="21" t="inlineStr">
        <is>
          <t>EcoSoftware Andalucía</t>
        </is>
      </c>
      <c r="E15" s="21" t="inlineStr">
        <is>
          <t>D. Jorge Cazorla</t>
        </is>
      </c>
      <c r="F15" s="22" t="inlineStr">
        <is>
          <t>Auditoría RAEE / PUE</t>
        </is>
      </c>
      <c r="G15" s="19">
        <f>IF(C15&gt;=5, "APTO", "PENDIENTE")</f>
        <v/>
      </c>
      <c r="H15" s="22">
        <f>IF(C15&lt;5, "RA4, RA6", "Ninguno")</f>
        <v/>
      </c>
      <c r="I15" s="44" t="inlineStr"/>
      <c r="J15" s="65">
        <f>IF(ISBLANK(I15), C15, MAX(C15, I15))</f>
        <v/>
      </c>
    </row>
    <row r="16" ht="20" customHeight="1">
      <c r="A16" s="15" t="n">
        <v>12</v>
      </c>
      <c r="B16" s="37" t="inlineStr">
        <is>
          <t>Pérez Rubio, Álvaro</t>
        </is>
      </c>
      <c r="C16" s="42">
        <f>'Panel de Control'!M20</f>
        <v/>
      </c>
      <c r="D16" s="14" t="inlineStr">
        <is>
          <t>GreenCloud Solutions S.L.</t>
        </is>
      </c>
      <c r="E16" s="14" t="inlineStr">
        <is>
          <t>Ing. Cristina Morales</t>
        </is>
      </c>
      <c r="F16" s="15" t="inlineStr">
        <is>
          <t>Auditoría RAEE / PUE</t>
        </is>
      </c>
      <c r="G16" s="12">
        <f>IF(C16&gt;=5, "APTO", "PENDIENTE")</f>
        <v/>
      </c>
      <c r="H16" s="15">
        <f>IF(C16&lt;5, "RA4, RA6", "Ninguno")</f>
        <v/>
      </c>
      <c r="I16" s="38" t="inlineStr"/>
      <c r="J16" s="65">
        <f>IF(ISBLANK(I16), C16, MAX(C16, I16))</f>
        <v/>
      </c>
    </row>
    <row r="17" ht="20" customHeight="1">
      <c r="A17" s="22" t="n">
        <v>13</v>
      </c>
      <c r="B17" s="43" t="inlineStr">
        <is>
          <t>Ramírez Soto, Carmen</t>
        </is>
      </c>
      <c r="C17" s="42">
        <f>'Panel de Control'!M21</f>
        <v/>
      </c>
      <c r="D17" s="21" t="inlineStr">
        <is>
          <t>EcoSoftware Andalucía</t>
        </is>
      </c>
      <c r="E17" s="21" t="inlineStr">
        <is>
          <t>D. Jorge Cazorla</t>
        </is>
      </c>
      <c r="F17" s="22" t="inlineStr">
        <is>
          <t>Auditoría RAEE / PUE</t>
        </is>
      </c>
      <c r="G17" s="19">
        <f>IF(C17&gt;=5, "APTO", "PENDIENTE")</f>
        <v/>
      </c>
      <c r="H17" s="22">
        <f>IF(C17&lt;5, "RA4, RA6", "Ninguno")</f>
        <v/>
      </c>
      <c r="I17" s="44" t="inlineStr"/>
      <c r="J17" s="65">
        <f>IF(ISBLANK(I17), C17, MAX(C17, I17))</f>
        <v/>
      </c>
    </row>
    <row r="18" ht="20" customHeight="1">
      <c r="A18" s="15" t="n">
        <v>14</v>
      </c>
      <c r="B18" s="37" t="inlineStr">
        <is>
          <t>Sánchez Vidal, Daniel</t>
        </is>
      </c>
      <c r="C18" s="42">
        <f>'Panel de Control'!M22</f>
        <v/>
      </c>
      <c r="D18" s="14" t="inlineStr">
        <is>
          <t>GreenCloud Solutions S.L.</t>
        </is>
      </c>
      <c r="E18" s="14" t="inlineStr">
        <is>
          <t>Ing. Cristina Morales</t>
        </is>
      </c>
      <c r="F18" s="15" t="inlineStr">
        <is>
          <t>Auditoría RAEE / PUE</t>
        </is>
      </c>
      <c r="G18" s="12">
        <f>IF(C18&gt;=5, "APTO", "PENDIENTE")</f>
        <v/>
      </c>
      <c r="H18" s="15">
        <f>IF(C18&lt;5, "RA4, RA6", "Ninguno")</f>
        <v/>
      </c>
      <c r="I18" s="38" t="inlineStr"/>
      <c r="J18" s="65">
        <f>IF(ISBLANK(I18), C18, MAX(C18, I18))</f>
        <v/>
      </c>
    </row>
    <row r="19" ht="20" customHeight="1">
      <c r="A19" s="22" t="n">
        <v>15</v>
      </c>
      <c r="B19" s="43" t="inlineStr">
        <is>
          <t>Torres Lozano, Irene</t>
        </is>
      </c>
      <c r="C19" s="42">
        <f>'Panel de Control'!M23</f>
        <v/>
      </c>
      <c r="D19" s="21" t="inlineStr">
        <is>
          <t>EcoSoftware Andalucía</t>
        </is>
      </c>
      <c r="E19" s="21" t="inlineStr">
        <is>
          <t>D. Jorge Cazorla</t>
        </is>
      </c>
      <c r="F19" s="22" t="inlineStr">
        <is>
          <t>Auditoría RAEE / PUE</t>
        </is>
      </c>
      <c r="G19" s="19">
        <f>IF(C19&gt;=5, "APTO", "PENDIENTE")</f>
        <v/>
      </c>
      <c r="H19" s="22">
        <f>IF(C19&lt;5, "RA4, RA6", "Ninguno")</f>
        <v/>
      </c>
      <c r="I19" s="44" t="inlineStr"/>
      <c r="J19" s="65">
        <f>IF(ISBLANK(I19), C19, MAX(C19, I19))</f>
        <v/>
      </c>
    </row>
  </sheetData>
  <mergeCells count="2">
    <mergeCell ref="A1:J1"/>
    <mergeCell ref="A2:J2"/>
  </mergeCells>
  <conditionalFormatting sqref="J5:J19">
    <cfRule type="cellIs" priority="1" operator="greaterThanOrEqual" dxfId="0" stopIfTrue="1">
      <formula>5.0</formula>
    </cfRule>
    <cfRule type="cellIs" priority="2" operator="lessThan" dxfId="1" stopIfTrue="1">
      <formula>5.0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6" customWidth="1" min="1" max="1"/>
    <col width="85" customWidth="1" min="2" max="2"/>
    <col width="12" customWidth="1" min="3" max="3"/>
    <col width="12" customWidth="1" min="4" max="4"/>
    <col width="12" customWidth="1" min="5" max="5"/>
    <col width="12" customWidth="1" min="6" max="6"/>
    <col width="12" customWidth="1" min="7" max="7"/>
  </cols>
  <sheetData>
    <row r="1" ht="36" customHeight="1">
      <c r="A1" s="1" t="inlineStr">
        <is>
          <t>GUÍA DE USO Y ARQUITECTURA DEL SISTEMA DE EVALUACIÓN — SOSTENIBILIDAD (1º DAW / DAM)</t>
        </is>
      </c>
    </row>
    <row r="3" ht="26" customHeight="1">
      <c r="B3" s="66" t="inlineStr">
        <is>
          <t>1. Filosofía y Funcionamiento Dinámico</t>
        </is>
      </c>
    </row>
    <row r="4" ht="108" customHeight="1">
      <c r="B4" s="67" t="inlineStr">
        <is>
          <t>Esta hoja de cálculo implementa un motor de evaluación competencial bidireccional completamente automatizado para Sostenibilidad:
• La 'Matriz Criterios' contiene los 34 Criterios de Evaluación oficiales agrupados en los 6 Resultados de Aprendizaje.
• En cualquier momento del curso puedes marcar o desmarcar con una 'X' qué criterios evalúa cada tarea o examen.
• En la FILA 41 se calcula automáticamente la SUMA EXACTA DE LOS PESOS de los criterios marcados con 'X' para esa tarea.
• En la FILA 42 se calcula el % DE PONDERACIÓN EN EL TRIMESTRE, normalizado a 100% (para que cada boletín de notas trimestral sume 100%).
• El motor recalcula en tiempo real las notas individuales de cada criterio, el avance de cada RA y las notas de T1, T2, T3 y final.</t>
        </is>
      </c>
    </row>
    <row r="6" ht="26" customHeight="1">
      <c r="B6" s="66" t="inlineStr">
        <is>
          <t>2. Flujo de Trabajo para el Docente</t>
        </is>
      </c>
    </row>
    <row r="7" ht="234" customHeight="1">
      <c r="B7" s="67" t="inlineStr">
        <is>
          <t>PASO 1: Configurar la Matriz Criterios
Revisa las columnas H a S (tareas T01 a T12 repartidas en los 3 trimestres). Coloca una 'X' en la fila del criterio que evalúe dicha tarea.
La fila 40 te indica cuántos criterios evalúa cada tarea.
La fila 41 calcula dinámicamente la suma directa de los pesos de dichos criterios sobre el total del módulo.
La fila 42 rebalancea automáticamente los porcentajes dentro de cada trimestre sumando exactamente el 100%.
PASO 2: Introducir Calificaciones en 'Registro Notas'
Introduce las notas (0.00 a 10.00) obtenidas por los alumnos en cada tarea (columnas D a O).
Las notas de 1º, 2º y 3er Trimestre se calculan automáticamente en las columnas P, Q y R a partir de los pesos derivados de los criterios.
PASO 3: Supervisar el 'Panel de Control'
Observa las tarjetas de KPIs (Alumnos, Aprobados, Suspensos, Nota Media, Tasa de Éxito) y la tabla consolidada
con la calificación oficial y el estado de superación del módulo.</t>
        </is>
      </c>
    </row>
    <row r="9" ht="26" customHeight="1">
      <c r="B9" s="66" t="inlineStr">
        <is>
          <t>3. Robustez Matemática (Sin Ceros Prematuros)</t>
        </is>
      </c>
    </row>
    <row r="10" ht="72" customHeight="1">
      <c r="B10" s="67" t="inlineStr">
        <is>
          <t>La fórmula implementada en cada criterio utiliza la función ISNUMBER combinada con SUMPRODUCT:
Solo se promedian aquellas tareas que tienen una 'X' Y QUE ADEMÁS TIENEN NOTA INTRODUCIDA.
Esto evita que un alumno aparezca con una nota suspensa en un criterio a principio de curso simplemente
porque las tareas de los trimestres posteriores todavía no se han impartido o calificado.</t>
        </is>
      </c>
    </row>
    <row r="12" ht="26" customHeight="1">
      <c r="B12" s="66" t="inlineStr">
        <is>
          <t>4. Marco Normativo Integrado</t>
        </is>
      </c>
    </row>
    <row r="13" ht="90" customHeight="1">
      <c r="B13" s="67" t="inlineStr">
        <is>
          <t>• Ley Orgánica 3/2022 y Real Decreto 659/2023 (Artículo 100 y Anexo VIII: currículo básico de Sostenibilidad 1708).
• Real Decreto 500/2024 (Incorporación de Sostenibilidad a los títulos de FP).
• Decreto 104/2024 (Ordenación de FP en Andalucía, derogando el Decreto 436/2008).
• Orden de 18 de septiembre de 2025 (Evaluación y acreditación del alumnado de FP en Andalucía).
• Normativa ASG sectorial: Directiva CSRD (UE 2022/2464), Directiva RAEE (2012/19/UE), Ley 7/2022 de residuos y Ley 3/2023 de Economía Circular de Andalucía (LECA).</t>
        </is>
      </c>
    </row>
  </sheetData>
  <mergeCells count="9">
    <mergeCell ref="B3:G3"/>
    <mergeCell ref="B10:G10"/>
    <mergeCell ref="A1:G1"/>
    <mergeCell ref="B9:G9"/>
    <mergeCell ref="B4:G4"/>
    <mergeCell ref="B12:G12"/>
    <mergeCell ref="B13:G13"/>
    <mergeCell ref="B7:G7"/>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2026-10-04T16:18:57Z</dcterms:created>
  <dcterms:modified xmlns:dcterms="http://purl.org/dc/terms/" xmlns:xsi="http://www.w3.org/2001/XMLSchema-instance" xsi:type="dcterms:W3CDTF">2026-10-04T16:18:57Z</dcterms:modified>
</cp:coreProperties>
</file>